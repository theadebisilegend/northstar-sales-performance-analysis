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6eb80f853115c1b3/Desktop/BDA/Personal Study/"/>
    </mc:Choice>
  </mc:AlternateContent>
  <xr:revisionPtr revIDLastSave="872" documentId="11_3E8B25D0D13C20EA6DCD04912B5D0F6A696BF26C" xr6:coauthVersionLast="47" xr6:coauthVersionMax="47" xr10:uidLastSave="{C00C18EA-0B78-40B8-88DB-F479FD771702}"/>
  <bookViews>
    <workbookView xWindow="38280" yWindow="-120" windowWidth="29040" windowHeight="15720" activeTab="3" xr2:uid="{00000000-000D-0000-FFFF-FFFF00000000}"/>
  </bookViews>
  <sheets>
    <sheet name="Pivot_Table" sheetId="6" r:id="rId1"/>
    <sheet name="Discount_Analysis" sheetId="8" r:id="rId2"/>
    <sheet name="Dashboard" sheetId="9" r:id="rId3"/>
    <sheet name="Management Summary" sheetId="10" r:id="rId4"/>
    <sheet name="Sales_Data" sheetId="1" r:id="rId5"/>
    <sheet name="Product_Lookup" sheetId="2" r:id="rId6"/>
    <sheet name="Project_Brief" sheetId="3" r:id="rId7"/>
  </sheets>
  <definedNames>
    <definedName name="_xlnm._FilterDatabase" localSheetId="4" hidden="1">Sales_Data!$A$1:$S$321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/>
  <c r="H2" i="1"/>
  <c r="J2" i="1"/>
  <c r="L2" i="1"/>
  <c r="M2" i="1"/>
  <c r="N2" i="1"/>
  <c r="O2" i="1"/>
  <c r="P2" i="1"/>
  <c r="Q2" i="1"/>
  <c r="F3" i="1"/>
  <c r="G3" i="1"/>
  <c r="H3" i="1"/>
  <c r="J3" i="1"/>
  <c r="L3" i="1"/>
  <c r="M3" i="1"/>
  <c r="N3" i="1"/>
  <c r="O3" i="1"/>
  <c r="P3" i="1"/>
  <c r="Q3" i="1"/>
  <c r="F4" i="1"/>
  <c r="G4" i="1"/>
  <c r="H4" i="1"/>
  <c r="J4" i="1"/>
  <c r="L4" i="1"/>
  <c r="M4" i="1"/>
  <c r="N4" i="1"/>
  <c r="O4" i="1"/>
  <c r="P4" i="1"/>
  <c r="Q4" i="1"/>
  <c r="F5" i="1"/>
  <c r="G5" i="1"/>
  <c r="H5" i="1"/>
  <c r="J5" i="1"/>
  <c r="L5" i="1"/>
  <c r="M5" i="1"/>
  <c r="N5" i="1"/>
  <c r="O5" i="1"/>
  <c r="P5" i="1"/>
  <c r="Q5" i="1"/>
  <c r="F6" i="1"/>
  <c r="G6" i="1"/>
  <c r="H6" i="1"/>
  <c r="J6" i="1"/>
  <c r="L6" i="1"/>
  <c r="M6" i="1"/>
  <c r="N6" i="1"/>
  <c r="O6" i="1"/>
  <c r="P6" i="1"/>
  <c r="Q6" i="1"/>
  <c r="F7" i="1"/>
  <c r="G7" i="1"/>
  <c r="H7" i="1"/>
  <c r="J7" i="1"/>
  <c r="L7" i="1"/>
  <c r="M7" i="1"/>
  <c r="N7" i="1"/>
  <c r="O7" i="1"/>
  <c r="P7" i="1"/>
  <c r="Q7" i="1"/>
  <c r="F8" i="1"/>
  <c r="G8" i="1"/>
  <c r="H8" i="1"/>
  <c r="J8" i="1"/>
  <c r="L8" i="1"/>
  <c r="M8" i="1"/>
  <c r="N8" i="1"/>
  <c r="O8" i="1"/>
  <c r="P8" i="1"/>
  <c r="Q8" i="1"/>
  <c r="F9" i="1"/>
  <c r="G9" i="1"/>
  <c r="H9" i="1"/>
  <c r="J9" i="1"/>
  <c r="L9" i="1"/>
  <c r="M9" i="1"/>
  <c r="N9" i="1"/>
  <c r="O9" i="1"/>
  <c r="P9" i="1"/>
  <c r="Q9" i="1"/>
  <c r="F10" i="1"/>
  <c r="G10" i="1"/>
  <c r="H10" i="1"/>
  <c r="J10" i="1"/>
  <c r="L10" i="1"/>
  <c r="M10" i="1"/>
  <c r="N10" i="1"/>
  <c r="O10" i="1"/>
  <c r="P10" i="1"/>
  <c r="Q10" i="1"/>
  <c r="F11" i="1"/>
  <c r="G11" i="1"/>
  <c r="H11" i="1"/>
  <c r="J11" i="1"/>
  <c r="L11" i="1"/>
  <c r="M11" i="1"/>
  <c r="N11" i="1"/>
  <c r="O11" i="1"/>
  <c r="P11" i="1"/>
  <c r="Q11" i="1"/>
  <c r="F12" i="1"/>
  <c r="G12" i="1"/>
  <c r="H12" i="1"/>
  <c r="J12" i="1"/>
  <c r="L12" i="1"/>
  <c r="M12" i="1"/>
  <c r="N12" i="1"/>
  <c r="O12" i="1"/>
  <c r="P12" i="1"/>
  <c r="Q12" i="1"/>
  <c r="F13" i="1"/>
  <c r="G13" i="1"/>
  <c r="H13" i="1"/>
  <c r="J13" i="1"/>
  <c r="L13" i="1"/>
  <c r="M13" i="1"/>
  <c r="N13" i="1"/>
  <c r="O13" i="1"/>
  <c r="P13" i="1"/>
  <c r="Q13" i="1"/>
  <c r="F14" i="1"/>
  <c r="G14" i="1"/>
  <c r="H14" i="1"/>
  <c r="J14" i="1"/>
  <c r="L14" i="1"/>
  <c r="M14" i="1"/>
  <c r="N14" i="1"/>
  <c r="O14" i="1"/>
  <c r="P14" i="1"/>
  <c r="Q14" i="1"/>
  <c r="F15" i="1"/>
  <c r="G15" i="1"/>
  <c r="H15" i="1"/>
  <c r="J15" i="1"/>
  <c r="L15" i="1"/>
  <c r="M15" i="1"/>
  <c r="N15" i="1"/>
  <c r="O15" i="1"/>
  <c r="P15" i="1"/>
  <c r="Q15" i="1"/>
  <c r="F16" i="1"/>
  <c r="G16" i="1"/>
  <c r="H16" i="1"/>
  <c r="J16" i="1"/>
  <c r="L16" i="1"/>
  <c r="M16" i="1"/>
  <c r="N16" i="1"/>
  <c r="O16" i="1"/>
  <c r="P16" i="1"/>
  <c r="Q16" i="1"/>
  <c r="F17" i="1"/>
  <c r="G17" i="1"/>
  <c r="H17" i="1"/>
  <c r="J17" i="1"/>
  <c r="L17" i="1"/>
  <c r="M17" i="1"/>
  <c r="N17" i="1"/>
  <c r="O17" i="1"/>
  <c r="P17" i="1"/>
  <c r="Q17" i="1"/>
  <c r="F18" i="1"/>
  <c r="G18" i="1"/>
  <c r="H18" i="1"/>
  <c r="J18" i="1"/>
  <c r="L18" i="1"/>
  <c r="M18" i="1"/>
  <c r="N18" i="1"/>
  <c r="O18" i="1"/>
  <c r="P18" i="1"/>
  <c r="Q18" i="1"/>
  <c r="F19" i="1"/>
  <c r="G19" i="1"/>
  <c r="H19" i="1"/>
  <c r="J19" i="1"/>
  <c r="L19" i="1"/>
  <c r="M19" i="1"/>
  <c r="N19" i="1"/>
  <c r="O19" i="1"/>
  <c r="P19" i="1"/>
  <c r="Q19" i="1"/>
  <c r="F20" i="1"/>
  <c r="G20" i="1"/>
  <c r="H20" i="1"/>
  <c r="J20" i="1"/>
  <c r="L20" i="1"/>
  <c r="M20" i="1"/>
  <c r="N20" i="1"/>
  <c r="O20" i="1"/>
  <c r="P20" i="1"/>
  <c r="Q20" i="1"/>
  <c r="F21" i="1"/>
  <c r="G21" i="1"/>
  <c r="H21" i="1"/>
  <c r="J21" i="1"/>
  <c r="L21" i="1"/>
  <c r="M21" i="1"/>
  <c r="N21" i="1"/>
  <c r="O21" i="1"/>
  <c r="P21" i="1"/>
  <c r="Q21" i="1"/>
  <c r="F22" i="1"/>
  <c r="G22" i="1"/>
  <c r="H22" i="1"/>
  <c r="J22" i="1"/>
  <c r="L22" i="1"/>
  <c r="M22" i="1"/>
  <c r="N22" i="1"/>
  <c r="O22" i="1"/>
  <c r="P22" i="1"/>
  <c r="Q22" i="1"/>
  <c r="F23" i="1"/>
  <c r="G23" i="1"/>
  <c r="H23" i="1"/>
  <c r="J23" i="1"/>
  <c r="L23" i="1"/>
  <c r="M23" i="1"/>
  <c r="N23" i="1"/>
  <c r="O23" i="1"/>
  <c r="P23" i="1"/>
  <c r="Q23" i="1"/>
  <c r="F24" i="1"/>
  <c r="G24" i="1"/>
  <c r="H24" i="1"/>
  <c r="J24" i="1"/>
  <c r="L24" i="1"/>
  <c r="M24" i="1"/>
  <c r="N24" i="1"/>
  <c r="O24" i="1"/>
  <c r="P24" i="1"/>
  <c r="Q24" i="1"/>
  <c r="F25" i="1"/>
  <c r="G25" i="1"/>
  <c r="H25" i="1"/>
  <c r="J25" i="1"/>
  <c r="L25" i="1"/>
  <c r="M25" i="1"/>
  <c r="N25" i="1"/>
  <c r="O25" i="1"/>
  <c r="P25" i="1"/>
  <c r="Q25" i="1"/>
  <c r="F26" i="1"/>
  <c r="G26" i="1"/>
  <c r="H26" i="1"/>
  <c r="J26" i="1"/>
  <c r="L26" i="1"/>
  <c r="M26" i="1"/>
  <c r="N26" i="1"/>
  <c r="O26" i="1"/>
  <c r="P26" i="1"/>
  <c r="Q26" i="1"/>
  <c r="F27" i="1"/>
  <c r="G27" i="1"/>
  <c r="H27" i="1"/>
  <c r="J27" i="1"/>
  <c r="L27" i="1"/>
  <c r="M27" i="1"/>
  <c r="N27" i="1"/>
  <c r="O27" i="1"/>
  <c r="P27" i="1"/>
  <c r="Q27" i="1"/>
  <c r="F28" i="1"/>
  <c r="G28" i="1"/>
  <c r="H28" i="1"/>
  <c r="J28" i="1"/>
  <c r="L28" i="1"/>
  <c r="M28" i="1"/>
  <c r="N28" i="1"/>
  <c r="O28" i="1"/>
  <c r="P28" i="1"/>
  <c r="Q28" i="1"/>
  <c r="F29" i="1"/>
  <c r="G29" i="1"/>
  <c r="H29" i="1"/>
  <c r="J29" i="1"/>
  <c r="L29" i="1"/>
  <c r="M29" i="1"/>
  <c r="N29" i="1"/>
  <c r="O29" i="1"/>
  <c r="P29" i="1"/>
  <c r="Q29" i="1"/>
  <c r="F30" i="1"/>
  <c r="G30" i="1"/>
  <c r="H30" i="1"/>
  <c r="J30" i="1"/>
  <c r="L30" i="1"/>
  <c r="M30" i="1"/>
  <c r="N30" i="1"/>
  <c r="O30" i="1"/>
  <c r="P30" i="1"/>
  <c r="Q30" i="1"/>
  <c r="F31" i="1"/>
  <c r="G31" i="1"/>
  <c r="H31" i="1"/>
  <c r="J31" i="1"/>
  <c r="L31" i="1"/>
  <c r="M31" i="1"/>
  <c r="N31" i="1"/>
  <c r="O31" i="1"/>
  <c r="P31" i="1"/>
  <c r="Q31" i="1"/>
  <c r="F32" i="1"/>
  <c r="G32" i="1"/>
  <c r="H32" i="1"/>
  <c r="J32" i="1" s="1"/>
  <c r="N32" i="1"/>
  <c r="O32" i="1" s="1"/>
  <c r="F33" i="1"/>
  <c r="G33" i="1"/>
  <c r="H33" i="1"/>
  <c r="J33" i="1" s="1"/>
  <c r="N33" i="1"/>
  <c r="O33" i="1" s="1"/>
  <c r="F34" i="1"/>
  <c r="G34" i="1"/>
  <c r="H34" i="1"/>
  <c r="J34" i="1" s="1"/>
  <c r="N34" i="1"/>
  <c r="O34" i="1" s="1"/>
  <c r="F35" i="1"/>
  <c r="G35" i="1"/>
  <c r="H35" i="1"/>
  <c r="J35" i="1" s="1"/>
  <c r="N35" i="1"/>
  <c r="O35" i="1" s="1"/>
  <c r="F36" i="1"/>
  <c r="G36" i="1"/>
  <c r="H36" i="1"/>
  <c r="J36" i="1" s="1"/>
  <c r="N36" i="1"/>
  <c r="O36" i="1" s="1"/>
  <c r="F37" i="1"/>
  <c r="G37" i="1"/>
  <c r="H37" i="1"/>
  <c r="J37" i="1" s="1"/>
  <c r="N37" i="1"/>
  <c r="O37" i="1" s="1"/>
  <c r="F38" i="1"/>
  <c r="G38" i="1"/>
  <c r="H38" i="1"/>
  <c r="J38" i="1" s="1"/>
  <c r="N38" i="1"/>
  <c r="O38" i="1" s="1"/>
  <c r="F39" i="1"/>
  <c r="G39" i="1"/>
  <c r="H39" i="1"/>
  <c r="J39" i="1" s="1"/>
  <c r="N39" i="1"/>
  <c r="O39" i="1" s="1"/>
  <c r="F40" i="1"/>
  <c r="G40" i="1"/>
  <c r="H40" i="1"/>
  <c r="J40" i="1" s="1"/>
  <c r="N40" i="1"/>
  <c r="O40" i="1" s="1"/>
  <c r="F41" i="1"/>
  <c r="G41" i="1"/>
  <c r="H41" i="1"/>
  <c r="J41" i="1" s="1"/>
  <c r="N41" i="1"/>
  <c r="O41" i="1" s="1"/>
  <c r="F42" i="1"/>
  <c r="G42" i="1"/>
  <c r="H42" i="1"/>
  <c r="J42" i="1" s="1"/>
  <c r="N42" i="1"/>
  <c r="O42" i="1" s="1"/>
  <c r="F43" i="1"/>
  <c r="G43" i="1"/>
  <c r="H43" i="1"/>
  <c r="J43" i="1"/>
  <c r="L43" i="1"/>
  <c r="M43" i="1"/>
  <c r="N43" i="1"/>
  <c r="O43" i="1"/>
  <c r="P43" i="1"/>
  <c r="Q43" i="1"/>
  <c r="F44" i="1"/>
  <c r="G44" i="1"/>
  <c r="H44" i="1"/>
  <c r="J44" i="1"/>
  <c r="L44" i="1"/>
  <c r="M44" i="1"/>
  <c r="N44" i="1"/>
  <c r="O44" i="1"/>
  <c r="P44" i="1"/>
  <c r="Q44" i="1"/>
  <c r="F45" i="1"/>
  <c r="G45" i="1"/>
  <c r="H45" i="1"/>
  <c r="J45" i="1"/>
  <c r="L45" i="1"/>
  <c r="M45" i="1"/>
  <c r="P45" i="1" s="1"/>
  <c r="Q45" i="1" s="1"/>
  <c r="N45" i="1"/>
  <c r="O45" i="1"/>
  <c r="F46" i="1"/>
  <c r="G46" i="1"/>
  <c r="H46" i="1"/>
  <c r="J46" i="1"/>
  <c r="L46" i="1"/>
  <c r="M46" i="1"/>
  <c r="N46" i="1"/>
  <c r="O46" i="1"/>
  <c r="P46" i="1"/>
  <c r="Q46" i="1"/>
  <c r="F47" i="1"/>
  <c r="G47" i="1"/>
  <c r="H47" i="1"/>
  <c r="J47" i="1"/>
  <c r="L47" i="1"/>
  <c r="M47" i="1"/>
  <c r="N47" i="1"/>
  <c r="O47" i="1"/>
  <c r="P47" i="1"/>
  <c r="Q47" i="1"/>
  <c r="F48" i="1"/>
  <c r="G48" i="1"/>
  <c r="H48" i="1"/>
  <c r="J48" i="1"/>
  <c r="L48" i="1"/>
  <c r="M48" i="1"/>
  <c r="N48" i="1"/>
  <c r="O48" i="1"/>
  <c r="P48" i="1"/>
  <c r="Q48" i="1"/>
  <c r="F49" i="1"/>
  <c r="G49" i="1"/>
  <c r="H49" i="1"/>
  <c r="J49" i="1"/>
  <c r="L49" i="1"/>
  <c r="M49" i="1"/>
  <c r="N49" i="1"/>
  <c r="O49" i="1"/>
  <c r="P49" i="1"/>
  <c r="Q49" i="1"/>
  <c r="F50" i="1"/>
  <c r="G50" i="1"/>
  <c r="H50" i="1"/>
  <c r="J50" i="1"/>
  <c r="L50" i="1"/>
  <c r="M50" i="1"/>
  <c r="N50" i="1"/>
  <c r="O50" i="1"/>
  <c r="P50" i="1"/>
  <c r="Q50" i="1"/>
  <c r="F51" i="1"/>
  <c r="G51" i="1"/>
  <c r="H51" i="1"/>
  <c r="J51" i="1"/>
  <c r="L51" i="1"/>
  <c r="M51" i="1"/>
  <c r="N51" i="1"/>
  <c r="O51" i="1"/>
  <c r="P51" i="1"/>
  <c r="Q51" i="1"/>
  <c r="F52" i="1"/>
  <c r="G52" i="1"/>
  <c r="H52" i="1"/>
  <c r="J52" i="1"/>
  <c r="L52" i="1"/>
  <c r="M52" i="1"/>
  <c r="N52" i="1"/>
  <c r="O52" i="1"/>
  <c r="P52" i="1"/>
  <c r="Q52" i="1"/>
  <c r="F53" i="1"/>
  <c r="G53" i="1"/>
  <c r="H53" i="1"/>
  <c r="J53" i="1"/>
  <c r="L53" i="1"/>
  <c r="M53" i="1"/>
  <c r="N53" i="1"/>
  <c r="O53" i="1"/>
  <c r="P53" i="1"/>
  <c r="Q53" i="1"/>
  <c r="F54" i="1"/>
  <c r="G54" i="1"/>
  <c r="H54" i="1"/>
  <c r="J54" i="1"/>
  <c r="L54" i="1"/>
  <c r="M54" i="1"/>
  <c r="N54" i="1"/>
  <c r="O54" i="1"/>
  <c r="P54" i="1"/>
  <c r="Q54" i="1"/>
  <c r="F55" i="1"/>
  <c r="G55" i="1"/>
  <c r="H55" i="1"/>
  <c r="J55" i="1"/>
  <c r="L55" i="1"/>
  <c r="M55" i="1"/>
  <c r="N55" i="1"/>
  <c r="O55" i="1"/>
  <c r="P55" i="1"/>
  <c r="Q55" i="1"/>
  <c r="F56" i="1"/>
  <c r="G56" i="1"/>
  <c r="H56" i="1"/>
  <c r="J56" i="1"/>
  <c r="L56" i="1"/>
  <c r="M56" i="1"/>
  <c r="N56" i="1"/>
  <c r="O56" i="1"/>
  <c r="P56" i="1"/>
  <c r="Q56" i="1"/>
  <c r="F57" i="1"/>
  <c r="G57" i="1"/>
  <c r="H57" i="1"/>
  <c r="J57" i="1"/>
  <c r="L57" i="1"/>
  <c r="M57" i="1"/>
  <c r="N57" i="1"/>
  <c r="O57" i="1"/>
  <c r="P57" i="1"/>
  <c r="Q57" i="1"/>
  <c r="F58" i="1"/>
  <c r="G58" i="1"/>
  <c r="H58" i="1"/>
  <c r="J58" i="1"/>
  <c r="L58" i="1"/>
  <c r="M58" i="1"/>
  <c r="N58" i="1"/>
  <c r="O58" i="1"/>
  <c r="P58" i="1"/>
  <c r="Q58" i="1"/>
  <c r="F59" i="1"/>
  <c r="G59" i="1"/>
  <c r="H59" i="1"/>
  <c r="J59" i="1"/>
  <c r="L59" i="1"/>
  <c r="M59" i="1"/>
  <c r="N59" i="1"/>
  <c r="O59" i="1"/>
  <c r="P59" i="1"/>
  <c r="Q59" i="1"/>
  <c r="F60" i="1"/>
  <c r="G60" i="1"/>
  <c r="H60" i="1"/>
  <c r="J60" i="1"/>
  <c r="L60" i="1"/>
  <c r="M60" i="1"/>
  <c r="N60" i="1"/>
  <c r="O60" i="1"/>
  <c r="P60" i="1"/>
  <c r="Q60" i="1"/>
  <c r="F61" i="1"/>
  <c r="G61" i="1"/>
  <c r="H61" i="1"/>
  <c r="J61" i="1"/>
  <c r="L61" i="1"/>
  <c r="M61" i="1"/>
  <c r="N61" i="1"/>
  <c r="O61" i="1"/>
  <c r="P61" i="1"/>
  <c r="Q61" i="1"/>
  <c r="F62" i="1"/>
  <c r="G62" i="1"/>
  <c r="H62" i="1"/>
  <c r="J62" i="1"/>
  <c r="L62" i="1"/>
  <c r="M62" i="1"/>
  <c r="N62" i="1"/>
  <c r="O62" i="1"/>
  <c r="P62" i="1"/>
  <c r="Q62" i="1"/>
  <c r="F63" i="1"/>
  <c r="G63" i="1"/>
  <c r="H63" i="1"/>
  <c r="J63" i="1"/>
  <c r="L63" i="1"/>
  <c r="M63" i="1"/>
  <c r="N63" i="1"/>
  <c r="O63" i="1"/>
  <c r="P63" i="1"/>
  <c r="Q63" i="1"/>
  <c r="F64" i="1"/>
  <c r="G64" i="1"/>
  <c r="H64" i="1"/>
  <c r="J64" i="1"/>
  <c r="L64" i="1"/>
  <c r="M64" i="1"/>
  <c r="N64" i="1"/>
  <c r="O64" i="1"/>
  <c r="P64" i="1"/>
  <c r="Q64" i="1"/>
  <c r="F65" i="1"/>
  <c r="G65" i="1"/>
  <c r="H65" i="1"/>
  <c r="J65" i="1"/>
  <c r="L65" i="1"/>
  <c r="M65" i="1"/>
  <c r="N65" i="1"/>
  <c r="O65" i="1"/>
  <c r="P65" i="1"/>
  <c r="Q65" i="1"/>
  <c r="F66" i="1"/>
  <c r="G66" i="1"/>
  <c r="H66" i="1"/>
  <c r="J66" i="1"/>
  <c r="L66" i="1"/>
  <c r="M66" i="1"/>
  <c r="N66" i="1"/>
  <c r="O66" i="1"/>
  <c r="P66" i="1"/>
  <c r="Q66" i="1"/>
  <c r="F67" i="1"/>
  <c r="G67" i="1"/>
  <c r="H67" i="1"/>
  <c r="J67" i="1"/>
  <c r="L67" i="1"/>
  <c r="M67" i="1"/>
  <c r="N67" i="1"/>
  <c r="O67" i="1"/>
  <c r="P67" i="1"/>
  <c r="Q67" i="1"/>
  <c r="F68" i="1"/>
  <c r="G68" i="1"/>
  <c r="H68" i="1"/>
  <c r="J68" i="1"/>
  <c r="L68" i="1"/>
  <c r="M68" i="1"/>
  <c r="N68" i="1"/>
  <c r="O68" i="1"/>
  <c r="P68" i="1"/>
  <c r="Q68" i="1"/>
  <c r="F69" i="1"/>
  <c r="G69" i="1"/>
  <c r="H69" i="1"/>
  <c r="J69" i="1"/>
  <c r="L69" i="1"/>
  <c r="M69" i="1"/>
  <c r="N69" i="1"/>
  <c r="O69" i="1"/>
  <c r="P69" i="1"/>
  <c r="Q69" i="1"/>
  <c r="F70" i="1"/>
  <c r="G70" i="1"/>
  <c r="H70" i="1"/>
  <c r="J70" i="1"/>
  <c r="L70" i="1"/>
  <c r="M70" i="1"/>
  <c r="N70" i="1"/>
  <c r="O70" i="1"/>
  <c r="P70" i="1"/>
  <c r="Q70" i="1"/>
  <c r="F71" i="1"/>
  <c r="G71" i="1"/>
  <c r="H71" i="1"/>
  <c r="J71" i="1"/>
  <c r="L71" i="1"/>
  <c r="M71" i="1"/>
  <c r="N71" i="1"/>
  <c r="O71" i="1"/>
  <c r="P71" i="1"/>
  <c r="Q71" i="1"/>
  <c r="F72" i="1"/>
  <c r="G72" i="1"/>
  <c r="H72" i="1"/>
  <c r="J72" i="1"/>
  <c r="L72" i="1"/>
  <c r="M72" i="1"/>
  <c r="N72" i="1"/>
  <c r="O72" i="1"/>
  <c r="P72" i="1"/>
  <c r="Q72" i="1"/>
  <c r="F73" i="1"/>
  <c r="G73" i="1"/>
  <c r="H73" i="1"/>
  <c r="J73" i="1"/>
  <c r="L73" i="1"/>
  <c r="M73" i="1"/>
  <c r="N73" i="1"/>
  <c r="O73" i="1"/>
  <c r="P73" i="1"/>
  <c r="Q73" i="1"/>
  <c r="F74" i="1"/>
  <c r="G74" i="1"/>
  <c r="H74" i="1"/>
  <c r="J74" i="1"/>
  <c r="L74" i="1"/>
  <c r="M74" i="1"/>
  <c r="N74" i="1"/>
  <c r="O74" i="1"/>
  <c r="P74" i="1"/>
  <c r="Q74" i="1"/>
  <c r="F75" i="1"/>
  <c r="G75" i="1"/>
  <c r="H75" i="1"/>
  <c r="J75" i="1"/>
  <c r="L75" i="1"/>
  <c r="M75" i="1"/>
  <c r="N75" i="1"/>
  <c r="O75" i="1"/>
  <c r="P75" i="1"/>
  <c r="Q75" i="1"/>
  <c r="F76" i="1"/>
  <c r="G76" i="1"/>
  <c r="H76" i="1"/>
  <c r="J76" i="1"/>
  <c r="L76" i="1"/>
  <c r="M76" i="1"/>
  <c r="N76" i="1"/>
  <c r="O76" i="1"/>
  <c r="P76" i="1"/>
  <c r="Q76" i="1"/>
  <c r="F77" i="1"/>
  <c r="G77" i="1"/>
  <c r="H77" i="1"/>
  <c r="J77" i="1"/>
  <c r="L77" i="1"/>
  <c r="M77" i="1"/>
  <c r="N77" i="1"/>
  <c r="O77" i="1"/>
  <c r="P77" i="1"/>
  <c r="Q77" i="1"/>
  <c r="F78" i="1"/>
  <c r="G78" i="1"/>
  <c r="H78" i="1"/>
  <c r="J78" i="1"/>
  <c r="L78" i="1"/>
  <c r="M78" i="1"/>
  <c r="N78" i="1"/>
  <c r="O78" i="1"/>
  <c r="P78" i="1"/>
  <c r="Q78" i="1"/>
  <c r="F79" i="1"/>
  <c r="G79" i="1"/>
  <c r="H79" i="1"/>
  <c r="J79" i="1"/>
  <c r="L79" i="1"/>
  <c r="M79" i="1"/>
  <c r="N79" i="1"/>
  <c r="O79" i="1"/>
  <c r="P79" i="1"/>
  <c r="Q79" i="1"/>
  <c r="F80" i="1"/>
  <c r="G80" i="1"/>
  <c r="H80" i="1"/>
  <c r="J80" i="1"/>
  <c r="L80" i="1"/>
  <c r="M80" i="1"/>
  <c r="N80" i="1"/>
  <c r="O80" i="1"/>
  <c r="P80" i="1"/>
  <c r="Q80" i="1"/>
  <c r="F81" i="1"/>
  <c r="G81" i="1"/>
  <c r="H81" i="1"/>
  <c r="J81" i="1"/>
  <c r="L81" i="1"/>
  <c r="M81" i="1"/>
  <c r="N81" i="1"/>
  <c r="O81" i="1"/>
  <c r="P81" i="1"/>
  <c r="Q81" i="1"/>
  <c r="F82" i="1"/>
  <c r="G82" i="1"/>
  <c r="H82" i="1"/>
  <c r="J82" i="1"/>
  <c r="L82" i="1"/>
  <c r="M82" i="1"/>
  <c r="N82" i="1"/>
  <c r="O82" i="1"/>
  <c r="P82" i="1"/>
  <c r="Q82" i="1"/>
  <c r="F83" i="1"/>
  <c r="G83" i="1"/>
  <c r="H83" i="1"/>
  <c r="J83" i="1" s="1"/>
  <c r="N83" i="1"/>
  <c r="O83" i="1"/>
  <c r="F84" i="1"/>
  <c r="G84" i="1"/>
  <c r="H84" i="1"/>
  <c r="J84" i="1"/>
  <c r="L84" i="1"/>
  <c r="M84" i="1"/>
  <c r="N84" i="1"/>
  <c r="O84" i="1"/>
  <c r="P84" i="1"/>
  <c r="Q84" i="1"/>
  <c r="F85" i="1"/>
  <c r="G85" i="1"/>
  <c r="H85" i="1"/>
  <c r="J85" i="1"/>
  <c r="L85" i="1"/>
  <c r="M85" i="1"/>
  <c r="N85" i="1"/>
  <c r="O85" i="1" s="1"/>
  <c r="F86" i="1"/>
  <c r="G86" i="1"/>
  <c r="H86" i="1"/>
  <c r="J86" i="1"/>
  <c r="L86" i="1"/>
  <c r="M86" i="1"/>
  <c r="N86" i="1"/>
  <c r="O86" i="1"/>
  <c r="P86" i="1"/>
  <c r="Q86" i="1"/>
  <c r="F87" i="1"/>
  <c r="G87" i="1"/>
  <c r="H87" i="1"/>
  <c r="J87" i="1"/>
  <c r="L87" i="1"/>
  <c r="M87" i="1"/>
  <c r="N87" i="1"/>
  <c r="O87" i="1"/>
  <c r="P87" i="1"/>
  <c r="Q87" i="1"/>
  <c r="F88" i="1"/>
  <c r="G88" i="1"/>
  <c r="H88" i="1"/>
  <c r="J88" i="1"/>
  <c r="L88" i="1"/>
  <c r="M88" i="1"/>
  <c r="N88" i="1"/>
  <c r="O88" i="1"/>
  <c r="P88" i="1"/>
  <c r="Q88" i="1"/>
  <c r="F89" i="1"/>
  <c r="G89" i="1"/>
  <c r="H89" i="1"/>
  <c r="J89" i="1"/>
  <c r="L89" i="1"/>
  <c r="M89" i="1"/>
  <c r="N89" i="1"/>
  <c r="O89" i="1"/>
  <c r="P89" i="1"/>
  <c r="Q89" i="1"/>
  <c r="F90" i="1"/>
  <c r="G90" i="1"/>
  <c r="H90" i="1"/>
  <c r="J90" i="1"/>
  <c r="L90" i="1"/>
  <c r="M90" i="1"/>
  <c r="N90" i="1"/>
  <c r="O90" i="1"/>
  <c r="P90" i="1"/>
  <c r="Q90" i="1"/>
  <c r="F91" i="1"/>
  <c r="G91" i="1"/>
  <c r="H91" i="1"/>
  <c r="J91" i="1"/>
  <c r="L91" i="1"/>
  <c r="M91" i="1"/>
  <c r="N91" i="1"/>
  <c r="O91" i="1"/>
  <c r="P91" i="1"/>
  <c r="Q91" i="1"/>
  <c r="F92" i="1"/>
  <c r="G92" i="1"/>
  <c r="H92" i="1"/>
  <c r="J92" i="1"/>
  <c r="L92" i="1"/>
  <c r="M92" i="1"/>
  <c r="N92" i="1"/>
  <c r="O92" i="1"/>
  <c r="P92" i="1"/>
  <c r="Q92" i="1"/>
  <c r="F93" i="1"/>
  <c r="G93" i="1"/>
  <c r="H93" i="1"/>
  <c r="J93" i="1"/>
  <c r="L93" i="1"/>
  <c r="M93" i="1"/>
  <c r="N93" i="1"/>
  <c r="O93" i="1"/>
  <c r="P93" i="1"/>
  <c r="Q93" i="1"/>
  <c r="F94" i="1"/>
  <c r="G94" i="1"/>
  <c r="H94" i="1"/>
  <c r="J94" i="1"/>
  <c r="L94" i="1"/>
  <c r="M94" i="1"/>
  <c r="N94" i="1"/>
  <c r="O94" i="1"/>
  <c r="P94" i="1"/>
  <c r="Q94" i="1"/>
  <c r="F95" i="1"/>
  <c r="G95" i="1"/>
  <c r="H95" i="1"/>
  <c r="J95" i="1"/>
  <c r="L95" i="1"/>
  <c r="M95" i="1"/>
  <c r="N95" i="1"/>
  <c r="O95" i="1"/>
  <c r="P95" i="1"/>
  <c r="Q95" i="1"/>
  <c r="F96" i="1"/>
  <c r="G96" i="1"/>
  <c r="H96" i="1"/>
  <c r="J96" i="1"/>
  <c r="L96" i="1"/>
  <c r="M96" i="1"/>
  <c r="N96" i="1"/>
  <c r="O96" i="1"/>
  <c r="P96" i="1"/>
  <c r="Q96" i="1"/>
  <c r="F97" i="1"/>
  <c r="G97" i="1"/>
  <c r="H97" i="1"/>
  <c r="J97" i="1"/>
  <c r="L97" i="1"/>
  <c r="M97" i="1"/>
  <c r="N97" i="1"/>
  <c r="O97" i="1"/>
  <c r="P97" i="1"/>
  <c r="Q97" i="1"/>
  <c r="F98" i="1"/>
  <c r="G98" i="1"/>
  <c r="H98" i="1"/>
  <c r="J98" i="1"/>
  <c r="L98" i="1"/>
  <c r="M98" i="1"/>
  <c r="N98" i="1"/>
  <c r="O98" i="1"/>
  <c r="P98" i="1"/>
  <c r="Q98" i="1"/>
  <c r="F99" i="1"/>
  <c r="G99" i="1"/>
  <c r="H99" i="1"/>
  <c r="J99" i="1"/>
  <c r="L99" i="1"/>
  <c r="M99" i="1"/>
  <c r="N99" i="1"/>
  <c r="O99" i="1"/>
  <c r="P99" i="1"/>
  <c r="Q99" i="1"/>
  <c r="F100" i="1"/>
  <c r="G100" i="1"/>
  <c r="H100" i="1"/>
  <c r="J100" i="1"/>
  <c r="L100" i="1"/>
  <c r="M100" i="1"/>
  <c r="N100" i="1"/>
  <c r="O100" i="1"/>
  <c r="P100" i="1"/>
  <c r="Q100" i="1"/>
  <c r="F101" i="1"/>
  <c r="G101" i="1"/>
  <c r="H101" i="1"/>
  <c r="J101" i="1"/>
  <c r="L101" i="1"/>
  <c r="M101" i="1"/>
  <c r="N101" i="1"/>
  <c r="O101" i="1"/>
  <c r="P101" i="1"/>
  <c r="Q101" i="1"/>
  <c r="F102" i="1"/>
  <c r="G102" i="1"/>
  <c r="H102" i="1"/>
  <c r="J102" i="1"/>
  <c r="L102" i="1"/>
  <c r="M102" i="1"/>
  <c r="N102" i="1"/>
  <c r="O102" i="1"/>
  <c r="P102" i="1"/>
  <c r="Q102" i="1"/>
  <c r="F103" i="1"/>
  <c r="G103" i="1"/>
  <c r="H103" i="1"/>
  <c r="J103" i="1"/>
  <c r="L103" i="1"/>
  <c r="M103" i="1"/>
  <c r="N103" i="1"/>
  <c r="O103" i="1"/>
  <c r="P103" i="1"/>
  <c r="Q103" i="1"/>
  <c r="F104" i="1"/>
  <c r="G104" i="1"/>
  <c r="H104" i="1"/>
  <c r="J104" i="1"/>
  <c r="L104" i="1"/>
  <c r="M104" i="1"/>
  <c r="N104" i="1"/>
  <c r="O104" i="1"/>
  <c r="P104" i="1"/>
  <c r="Q104" i="1"/>
  <c r="F105" i="1"/>
  <c r="G105" i="1"/>
  <c r="H105" i="1"/>
  <c r="J105" i="1"/>
  <c r="L105" i="1"/>
  <c r="M105" i="1"/>
  <c r="N105" i="1"/>
  <c r="O105" i="1"/>
  <c r="P105" i="1"/>
  <c r="Q105" i="1"/>
  <c r="F106" i="1"/>
  <c r="G106" i="1"/>
  <c r="H106" i="1"/>
  <c r="J106" i="1"/>
  <c r="L106" i="1"/>
  <c r="M106" i="1"/>
  <c r="N106" i="1"/>
  <c r="O106" i="1"/>
  <c r="P106" i="1"/>
  <c r="Q106" i="1"/>
  <c r="F107" i="1"/>
  <c r="G107" i="1"/>
  <c r="H107" i="1"/>
  <c r="J107" i="1"/>
  <c r="L107" i="1"/>
  <c r="M107" i="1"/>
  <c r="N107" i="1"/>
  <c r="O107" i="1"/>
  <c r="P107" i="1"/>
  <c r="Q107" i="1"/>
  <c r="F108" i="1"/>
  <c r="G108" i="1"/>
  <c r="H108" i="1"/>
  <c r="J108" i="1"/>
  <c r="L108" i="1"/>
  <c r="M108" i="1"/>
  <c r="N108" i="1"/>
  <c r="O108" i="1"/>
  <c r="P108" i="1"/>
  <c r="Q108" i="1"/>
  <c r="F109" i="1"/>
  <c r="G109" i="1"/>
  <c r="H109" i="1"/>
  <c r="J109" i="1"/>
  <c r="L109" i="1"/>
  <c r="M109" i="1"/>
  <c r="N109" i="1"/>
  <c r="O109" i="1"/>
  <c r="P109" i="1"/>
  <c r="Q109" i="1"/>
  <c r="F110" i="1"/>
  <c r="G110" i="1"/>
  <c r="H110" i="1"/>
  <c r="J110" i="1"/>
  <c r="L110" i="1"/>
  <c r="M110" i="1"/>
  <c r="N110" i="1"/>
  <c r="O110" i="1"/>
  <c r="P110" i="1"/>
  <c r="Q110" i="1"/>
  <c r="F111" i="1"/>
  <c r="G111" i="1"/>
  <c r="H111" i="1"/>
  <c r="J111" i="1"/>
  <c r="L111" i="1"/>
  <c r="M111" i="1"/>
  <c r="N111" i="1"/>
  <c r="O111" i="1"/>
  <c r="P111" i="1"/>
  <c r="Q111" i="1"/>
  <c r="F112" i="1"/>
  <c r="G112" i="1"/>
  <c r="H112" i="1"/>
  <c r="J112" i="1"/>
  <c r="L112" i="1"/>
  <c r="M112" i="1"/>
  <c r="N112" i="1"/>
  <c r="O112" i="1"/>
  <c r="P112" i="1" s="1"/>
  <c r="Q112" i="1" s="1"/>
  <c r="F113" i="1"/>
  <c r="G113" i="1"/>
  <c r="H113" i="1"/>
  <c r="J113" i="1" s="1"/>
  <c r="N113" i="1"/>
  <c r="O113" i="1" s="1"/>
  <c r="F114" i="1"/>
  <c r="G114" i="1"/>
  <c r="H114" i="1"/>
  <c r="J114" i="1" s="1"/>
  <c r="N114" i="1"/>
  <c r="O114" i="1" s="1"/>
  <c r="F115" i="1"/>
  <c r="G115" i="1"/>
  <c r="H115" i="1"/>
  <c r="J115" i="1" s="1"/>
  <c r="N115" i="1"/>
  <c r="O115" i="1" s="1"/>
  <c r="F116" i="1"/>
  <c r="G116" i="1"/>
  <c r="H116" i="1"/>
  <c r="J116" i="1" s="1"/>
  <c r="N116" i="1"/>
  <c r="O116" i="1" s="1"/>
  <c r="F117" i="1"/>
  <c r="G117" i="1"/>
  <c r="H117" i="1"/>
  <c r="J117" i="1" s="1"/>
  <c r="N117" i="1"/>
  <c r="O117" i="1" s="1"/>
  <c r="F118" i="1"/>
  <c r="G118" i="1"/>
  <c r="H118" i="1"/>
  <c r="J118" i="1" s="1"/>
  <c r="N118" i="1"/>
  <c r="O118" i="1" s="1"/>
  <c r="F119" i="1"/>
  <c r="G119" i="1"/>
  <c r="H119" i="1"/>
  <c r="J119" i="1" s="1"/>
  <c r="N119" i="1"/>
  <c r="O119" i="1" s="1"/>
  <c r="F120" i="1"/>
  <c r="G120" i="1"/>
  <c r="H120" i="1"/>
  <c r="J120" i="1" s="1"/>
  <c r="N120" i="1"/>
  <c r="O120" i="1" s="1"/>
  <c r="F121" i="1"/>
  <c r="G121" i="1"/>
  <c r="H121" i="1"/>
  <c r="J121" i="1" s="1"/>
  <c r="N121" i="1"/>
  <c r="O121" i="1" s="1"/>
  <c r="F122" i="1"/>
  <c r="G122" i="1"/>
  <c r="H122" i="1"/>
  <c r="J122" i="1" s="1"/>
  <c r="N122" i="1"/>
  <c r="O122" i="1" s="1"/>
  <c r="F123" i="1"/>
  <c r="G123" i="1"/>
  <c r="H123" i="1"/>
  <c r="J123" i="1" s="1"/>
  <c r="N123" i="1"/>
  <c r="O123" i="1" s="1"/>
  <c r="F124" i="1"/>
  <c r="G124" i="1"/>
  <c r="H124" i="1"/>
  <c r="J124" i="1" s="1"/>
  <c r="N124" i="1"/>
  <c r="O124" i="1" s="1"/>
  <c r="F125" i="1"/>
  <c r="G125" i="1"/>
  <c r="H125" i="1"/>
  <c r="J125" i="1" s="1"/>
  <c r="N125" i="1"/>
  <c r="O125" i="1" s="1"/>
  <c r="F126" i="1"/>
  <c r="G126" i="1"/>
  <c r="H126" i="1"/>
  <c r="J126" i="1" s="1"/>
  <c r="N126" i="1"/>
  <c r="O126" i="1" s="1"/>
  <c r="F127" i="1"/>
  <c r="G127" i="1"/>
  <c r="H127" i="1"/>
  <c r="J127" i="1" s="1"/>
  <c r="N127" i="1"/>
  <c r="O127" i="1" s="1"/>
  <c r="F128" i="1"/>
  <c r="G128" i="1"/>
  <c r="H128" i="1"/>
  <c r="J128" i="1"/>
  <c r="L128" i="1"/>
  <c r="M128" i="1"/>
  <c r="N128" i="1"/>
  <c r="O128" i="1"/>
  <c r="P128" i="1"/>
  <c r="Q128" i="1"/>
  <c r="F129" i="1"/>
  <c r="G129" i="1"/>
  <c r="H129" i="1"/>
  <c r="J129" i="1"/>
  <c r="L129" i="1"/>
  <c r="M129" i="1"/>
  <c r="N129" i="1"/>
  <c r="O129" i="1"/>
  <c r="P129" i="1"/>
  <c r="Q129" i="1"/>
  <c r="F130" i="1"/>
  <c r="G130" i="1"/>
  <c r="H130" i="1"/>
  <c r="J130" i="1"/>
  <c r="L130" i="1"/>
  <c r="M130" i="1"/>
  <c r="N130" i="1"/>
  <c r="O130" i="1"/>
  <c r="P130" i="1"/>
  <c r="Q130" i="1"/>
  <c r="F131" i="1"/>
  <c r="G131" i="1"/>
  <c r="H131" i="1"/>
  <c r="J131" i="1"/>
  <c r="L131" i="1"/>
  <c r="M131" i="1"/>
  <c r="N131" i="1"/>
  <c r="O131" i="1"/>
  <c r="P131" i="1"/>
  <c r="Q131" i="1"/>
  <c r="F132" i="1"/>
  <c r="G132" i="1"/>
  <c r="H132" i="1"/>
  <c r="J132" i="1"/>
  <c r="L132" i="1"/>
  <c r="M132" i="1"/>
  <c r="N132" i="1"/>
  <c r="O132" i="1"/>
  <c r="P132" i="1"/>
  <c r="Q132" i="1"/>
  <c r="F133" i="1"/>
  <c r="G133" i="1"/>
  <c r="H133" i="1"/>
  <c r="J133" i="1"/>
  <c r="L133" i="1"/>
  <c r="M133" i="1"/>
  <c r="N133" i="1"/>
  <c r="O133" i="1"/>
  <c r="P133" i="1"/>
  <c r="Q133" i="1"/>
  <c r="F134" i="1"/>
  <c r="G134" i="1"/>
  <c r="H134" i="1"/>
  <c r="J134" i="1"/>
  <c r="L134" i="1"/>
  <c r="M134" i="1"/>
  <c r="N134" i="1"/>
  <c r="O134" i="1"/>
  <c r="P134" i="1"/>
  <c r="Q134" i="1"/>
  <c r="F135" i="1"/>
  <c r="G135" i="1"/>
  <c r="H135" i="1"/>
  <c r="J135" i="1"/>
  <c r="L135" i="1"/>
  <c r="M135" i="1"/>
  <c r="N135" i="1"/>
  <c r="O135" i="1"/>
  <c r="P135" i="1"/>
  <c r="Q135" i="1"/>
  <c r="F136" i="1"/>
  <c r="G136" i="1"/>
  <c r="H136" i="1"/>
  <c r="J136" i="1"/>
  <c r="L136" i="1"/>
  <c r="M136" i="1"/>
  <c r="N136" i="1"/>
  <c r="O136" i="1"/>
  <c r="P136" i="1"/>
  <c r="Q136" i="1"/>
  <c r="F137" i="1"/>
  <c r="G137" i="1"/>
  <c r="H137" i="1"/>
  <c r="J137" i="1"/>
  <c r="L137" i="1"/>
  <c r="M137" i="1"/>
  <c r="N137" i="1"/>
  <c r="O137" i="1"/>
  <c r="P137" i="1"/>
  <c r="Q137" i="1"/>
  <c r="F138" i="1"/>
  <c r="G138" i="1"/>
  <c r="H138" i="1"/>
  <c r="J138" i="1"/>
  <c r="L138" i="1"/>
  <c r="M138" i="1"/>
  <c r="N138" i="1"/>
  <c r="O138" i="1"/>
  <c r="P138" i="1"/>
  <c r="Q138" i="1"/>
  <c r="F139" i="1"/>
  <c r="G139" i="1"/>
  <c r="H139" i="1"/>
  <c r="J139" i="1"/>
  <c r="L139" i="1"/>
  <c r="M139" i="1"/>
  <c r="N139" i="1"/>
  <c r="O139" i="1"/>
  <c r="P139" i="1"/>
  <c r="Q139" i="1"/>
  <c r="F140" i="1"/>
  <c r="G140" i="1"/>
  <c r="H140" i="1"/>
  <c r="J140" i="1"/>
  <c r="L140" i="1"/>
  <c r="M140" i="1"/>
  <c r="N140" i="1"/>
  <c r="O140" i="1"/>
  <c r="P140" i="1"/>
  <c r="Q140" i="1"/>
  <c r="F141" i="1"/>
  <c r="G141" i="1"/>
  <c r="H141" i="1"/>
  <c r="J141" i="1"/>
  <c r="L141" i="1"/>
  <c r="M141" i="1"/>
  <c r="N141" i="1"/>
  <c r="O141" i="1"/>
  <c r="P141" i="1"/>
  <c r="Q141" i="1"/>
  <c r="F142" i="1"/>
  <c r="G142" i="1"/>
  <c r="H142" i="1"/>
  <c r="J142" i="1"/>
  <c r="L142" i="1"/>
  <c r="M142" i="1"/>
  <c r="N142" i="1"/>
  <c r="O142" i="1"/>
  <c r="P142" i="1"/>
  <c r="Q142" i="1"/>
  <c r="F143" i="1"/>
  <c r="G143" i="1"/>
  <c r="H143" i="1"/>
  <c r="J143" i="1"/>
  <c r="L143" i="1"/>
  <c r="M143" i="1"/>
  <c r="N143" i="1"/>
  <c r="O143" i="1"/>
  <c r="P143" i="1"/>
  <c r="Q143" i="1"/>
  <c r="F144" i="1"/>
  <c r="G144" i="1"/>
  <c r="H144" i="1"/>
  <c r="J144" i="1"/>
  <c r="L144" i="1"/>
  <c r="M144" i="1"/>
  <c r="N144" i="1"/>
  <c r="O144" i="1"/>
  <c r="P144" i="1"/>
  <c r="Q144" i="1"/>
  <c r="F145" i="1"/>
  <c r="G145" i="1"/>
  <c r="H145" i="1"/>
  <c r="J145" i="1"/>
  <c r="L145" i="1"/>
  <c r="M145" i="1"/>
  <c r="N145" i="1"/>
  <c r="O145" i="1"/>
  <c r="P145" i="1"/>
  <c r="Q145" i="1"/>
  <c r="F146" i="1"/>
  <c r="G146" i="1"/>
  <c r="H146" i="1"/>
  <c r="J146" i="1"/>
  <c r="L146" i="1"/>
  <c r="M146" i="1"/>
  <c r="N146" i="1"/>
  <c r="O146" i="1"/>
  <c r="P146" i="1"/>
  <c r="Q146" i="1"/>
  <c r="F147" i="1"/>
  <c r="G147" i="1"/>
  <c r="H147" i="1"/>
  <c r="J147" i="1"/>
  <c r="L147" i="1"/>
  <c r="M147" i="1"/>
  <c r="N147" i="1"/>
  <c r="O147" i="1"/>
  <c r="P147" i="1"/>
  <c r="Q147" i="1"/>
  <c r="F148" i="1"/>
  <c r="G148" i="1"/>
  <c r="H148" i="1"/>
  <c r="J148" i="1"/>
  <c r="L148" i="1"/>
  <c r="M148" i="1"/>
  <c r="N148" i="1"/>
  <c r="O148" i="1"/>
  <c r="P148" i="1"/>
  <c r="Q148" i="1"/>
  <c r="F149" i="1"/>
  <c r="G149" i="1"/>
  <c r="H149" i="1"/>
  <c r="J149" i="1"/>
  <c r="L149" i="1"/>
  <c r="M149" i="1"/>
  <c r="N149" i="1"/>
  <c r="O149" i="1"/>
  <c r="P149" i="1"/>
  <c r="Q149" i="1"/>
  <c r="F150" i="1"/>
  <c r="G150" i="1"/>
  <c r="H150" i="1"/>
  <c r="J150" i="1"/>
  <c r="L150" i="1"/>
  <c r="M150" i="1"/>
  <c r="N150" i="1"/>
  <c r="O150" i="1"/>
  <c r="P150" i="1"/>
  <c r="Q150" i="1"/>
  <c r="F151" i="1"/>
  <c r="G151" i="1"/>
  <c r="H151" i="1"/>
  <c r="J151" i="1"/>
  <c r="L151" i="1"/>
  <c r="M151" i="1"/>
  <c r="N151" i="1"/>
  <c r="O151" i="1"/>
  <c r="P151" i="1"/>
  <c r="Q151" i="1"/>
  <c r="F152" i="1"/>
  <c r="G152" i="1"/>
  <c r="H152" i="1"/>
  <c r="J152" i="1"/>
  <c r="L152" i="1"/>
  <c r="M152" i="1"/>
  <c r="N152" i="1"/>
  <c r="O152" i="1"/>
  <c r="P152" i="1"/>
  <c r="Q152" i="1"/>
  <c r="F153" i="1"/>
  <c r="G153" i="1"/>
  <c r="H153" i="1"/>
  <c r="J153" i="1"/>
  <c r="L153" i="1"/>
  <c r="M153" i="1"/>
  <c r="N153" i="1"/>
  <c r="O153" i="1"/>
  <c r="P153" i="1"/>
  <c r="Q153" i="1"/>
  <c r="F154" i="1"/>
  <c r="G154" i="1"/>
  <c r="H154" i="1"/>
  <c r="J154" i="1"/>
  <c r="L154" i="1"/>
  <c r="M154" i="1"/>
  <c r="N154" i="1"/>
  <c r="O154" i="1"/>
  <c r="P154" i="1"/>
  <c r="Q154" i="1"/>
  <c r="F155" i="1"/>
  <c r="G155" i="1"/>
  <c r="H155" i="1"/>
  <c r="J155" i="1"/>
  <c r="L155" i="1"/>
  <c r="M155" i="1"/>
  <c r="N155" i="1"/>
  <c r="O155" i="1"/>
  <c r="P155" i="1"/>
  <c r="Q155" i="1"/>
  <c r="F156" i="1"/>
  <c r="G156" i="1"/>
  <c r="H156" i="1"/>
  <c r="J156" i="1"/>
  <c r="L156" i="1"/>
  <c r="M156" i="1"/>
  <c r="N156" i="1"/>
  <c r="O156" i="1"/>
  <c r="P156" i="1"/>
  <c r="Q156" i="1"/>
  <c r="F157" i="1"/>
  <c r="G157" i="1"/>
  <c r="H157" i="1"/>
  <c r="J157" i="1"/>
  <c r="L157" i="1"/>
  <c r="M157" i="1"/>
  <c r="N157" i="1"/>
  <c r="O157" i="1"/>
  <c r="P157" i="1"/>
  <c r="Q157" i="1"/>
  <c r="F158" i="1"/>
  <c r="G158" i="1"/>
  <c r="H158" i="1"/>
  <c r="J158" i="1"/>
  <c r="L158" i="1"/>
  <c r="M158" i="1"/>
  <c r="N158" i="1"/>
  <c r="O158" i="1"/>
  <c r="P158" i="1"/>
  <c r="Q158" i="1"/>
  <c r="F159" i="1"/>
  <c r="G159" i="1"/>
  <c r="H159" i="1"/>
  <c r="J159" i="1"/>
  <c r="L159" i="1"/>
  <c r="M159" i="1"/>
  <c r="N159" i="1"/>
  <c r="O159" i="1"/>
  <c r="P159" i="1"/>
  <c r="Q159" i="1"/>
  <c r="F160" i="1"/>
  <c r="G160" i="1"/>
  <c r="H160" i="1"/>
  <c r="J160" i="1"/>
  <c r="L160" i="1"/>
  <c r="M160" i="1"/>
  <c r="N160" i="1"/>
  <c r="O160" i="1"/>
  <c r="P160" i="1"/>
  <c r="Q160" i="1"/>
  <c r="F161" i="1"/>
  <c r="G161" i="1"/>
  <c r="H161" i="1"/>
  <c r="J161" i="1"/>
  <c r="L161" i="1"/>
  <c r="M161" i="1"/>
  <c r="N161" i="1"/>
  <c r="O161" i="1"/>
  <c r="P161" i="1"/>
  <c r="Q161" i="1"/>
  <c r="F162" i="1"/>
  <c r="G162" i="1"/>
  <c r="H162" i="1"/>
  <c r="J162" i="1"/>
  <c r="L162" i="1"/>
  <c r="M162" i="1"/>
  <c r="N162" i="1"/>
  <c r="O162" i="1"/>
  <c r="P162" i="1"/>
  <c r="Q162" i="1"/>
  <c r="F163" i="1"/>
  <c r="G163" i="1"/>
  <c r="H163" i="1"/>
  <c r="J163" i="1"/>
  <c r="L163" i="1"/>
  <c r="M163" i="1"/>
  <c r="N163" i="1"/>
  <c r="O163" i="1"/>
  <c r="P163" i="1"/>
  <c r="Q163" i="1"/>
  <c r="F164" i="1"/>
  <c r="G164" i="1"/>
  <c r="H164" i="1"/>
  <c r="J164" i="1"/>
  <c r="L164" i="1"/>
  <c r="M164" i="1"/>
  <c r="N164" i="1"/>
  <c r="O164" i="1"/>
  <c r="P164" i="1"/>
  <c r="Q164" i="1" s="1"/>
  <c r="F165" i="1"/>
  <c r="G165" i="1"/>
  <c r="H165" i="1"/>
  <c r="J165" i="1"/>
  <c r="L165" i="1"/>
  <c r="M165" i="1"/>
  <c r="N165" i="1"/>
  <c r="O165" i="1"/>
  <c r="P165" i="1"/>
  <c r="Q165" i="1"/>
  <c r="F166" i="1"/>
  <c r="G166" i="1"/>
  <c r="H166" i="1"/>
  <c r="J166" i="1"/>
  <c r="L166" i="1"/>
  <c r="M166" i="1"/>
  <c r="N166" i="1"/>
  <c r="O166" i="1"/>
  <c r="P166" i="1"/>
  <c r="Q166" i="1"/>
  <c r="F167" i="1"/>
  <c r="G167" i="1"/>
  <c r="H167" i="1"/>
  <c r="J167" i="1"/>
  <c r="N167" i="1"/>
  <c r="O167" i="1"/>
  <c r="F168" i="1"/>
  <c r="G168" i="1"/>
  <c r="H168" i="1"/>
  <c r="J168" i="1"/>
  <c r="L168" i="1"/>
  <c r="M168" i="1"/>
  <c r="N168" i="1"/>
  <c r="O168" i="1"/>
  <c r="P168" i="1"/>
  <c r="Q168" i="1"/>
  <c r="F169" i="1"/>
  <c r="G169" i="1"/>
  <c r="H169" i="1"/>
  <c r="J169" i="1"/>
  <c r="L169" i="1"/>
  <c r="M169" i="1"/>
  <c r="N169" i="1"/>
  <c r="O169" i="1"/>
  <c r="P169" i="1"/>
  <c r="Q169" i="1"/>
  <c r="F170" i="1"/>
  <c r="G170" i="1"/>
  <c r="H170" i="1"/>
  <c r="J170" i="1"/>
  <c r="L170" i="1"/>
  <c r="M170" i="1"/>
  <c r="N170" i="1"/>
  <c r="O170" i="1"/>
  <c r="P170" i="1"/>
  <c r="Q170" i="1"/>
  <c r="F171" i="1"/>
  <c r="G171" i="1"/>
  <c r="H171" i="1"/>
  <c r="J171" i="1"/>
  <c r="L171" i="1"/>
  <c r="M171" i="1"/>
  <c r="N171" i="1"/>
  <c r="O171" i="1"/>
  <c r="P171" i="1"/>
  <c r="Q171" i="1"/>
  <c r="F172" i="1"/>
  <c r="G172" i="1"/>
  <c r="H172" i="1"/>
  <c r="J172" i="1"/>
  <c r="L172" i="1"/>
  <c r="M172" i="1"/>
  <c r="N172" i="1"/>
  <c r="O172" i="1"/>
  <c r="P172" i="1"/>
  <c r="Q172" i="1"/>
  <c r="F173" i="1"/>
  <c r="G173" i="1"/>
  <c r="H173" i="1"/>
  <c r="J173" i="1"/>
  <c r="L173" i="1"/>
  <c r="M173" i="1"/>
  <c r="N173" i="1"/>
  <c r="O173" i="1"/>
  <c r="P173" i="1"/>
  <c r="Q173" i="1"/>
  <c r="F174" i="1"/>
  <c r="G174" i="1"/>
  <c r="H174" i="1"/>
  <c r="J174" i="1"/>
  <c r="L174" i="1"/>
  <c r="M174" i="1"/>
  <c r="N174" i="1"/>
  <c r="O174" i="1"/>
  <c r="P174" i="1"/>
  <c r="Q174" i="1"/>
  <c r="F175" i="1"/>
  <c r="G175" i="1"/>
  <c r="H175" i="1"/>
  <c r="J175" i="1"/>
  <c r="L175" i="1"/>
  <c r="M175" i="1"/>
  <c r="N175" i="1"/>
  <c r="O175" i="1"/>
  <c r="P175" i="1"/>
  <c r="Q175" i="1"/>
  <c r="F176" i="1"/>
  <c r="G176" i="1"/>
  <c r="H176" i="1"/>
  <c r="J176" i="1"/>
  <c r="L176" i="1"/>
  <c r="M176" i="1"/>
  <c r="N176" i="1"/>
  <c r="O176" i="1"/>
  <c r="P176" i="1"/>
  <c r="Q176" i="1"/>
  <c r="F177" i="1"/>
  <c r="G177" i="1"/>
  <c r="H177" i="1"/>
  <c r="J177" i="1"/>
  <c r="L177" i="1"/>
  <c r="M177" i="1"/>
  <c r="N177" i="1"/>
  <c r="O177" i="1"/>
  <c r="P177" i="1"/>
  <c r="Q177" i="1"/>
  <c r="F178" i="1"/>
  <c r="G178" i="1"/>
  <c r="H178" i="1"/>
  <c r="J178" i="1"/>
  <c r="L178" i="1"/>
  <c r="M178" i="1"/>
  <c r="N178" i="1"/>
  <c r="O178" i="1"/>
  <c r="P178" i="1"/>
  <c r="Q178" i="1"/>
  <c r="F179" i="1"/>
  <c r="G179" i="1"/>
  <c r="H179" i="1"/>
  <c r="J179" i="1"/>
  <c r="L179" i="1"/>
  <c r="M179" i="1"/>
  <c r="N179" i="1"/>
  <c r="O179" i="1"/>
  <c r="P179" i="1"/>
  <c r="Q179" i="1"/>
  <c r="F180" i="1"/>
  <c r="G180" i="1"/>
  <c r="H180" i="1"/>
  <c r="J180" i="1"/>
  <c r="L180" i="1"/>
  <c r="M180" i="1"/>
  <c r="N180" i="1"/>
  <c r="O180" i="1"/>
  <c r="P180" i="1"/>
  <c r="Q180" i="1"/>
  <c r="F181" i="1"/>
  <c r="G181" i="1"/>
  <c r="H181" i="1"/>
  <c r="J181" i="1"/>
  <c r="L181" i="1"/>
  <c r="M181" i="1"/>
  <c r="N181" i="1"/>
  <c r="O181" i="1"/>
  <c r="P181" i="1"/>
  <c r="Q181" i="1"/>
  <c r="F182" i="1"/>
  <c r="G182" i="1"/>
  <c r="H182" i="1"/>
  <c r="J182" i="1"/>
  <c r="L182" i="1"/>
  <c r="M182" i="1"/>
  <c r="N182" i="1"/>
  <c r="O182" i="1"/>
  <c r="P182" i="1"/>
  <c r="Q182" i="1"/>
  <c r="F183" i="1"/>
  <c r="G183" i="1"/>
  <c r="H183" i="1"/>
  <c r="J183" i="1"/>
  <c r="L183" i="1"/>
  <c r="M183" i="1"/>
  <c r="N183" i="1"/>
  <c r="O183" i="1"/>
  <c r="P183" i="1"/>
  <c r="Q183" i="1"/>
  <c r="F184" i="1"/>
  <c r="G184" i="1"/>
  <c r="H184" i="1"/>
  <c r="J184" i="1"/>
  <c r="L184" i="1"/>
  <c r="M184" i="1"/>
  <c r="N184" i="1"/>
  <c r="O184" i="1"/>
  <c r="P184" i="1"/>
  <c r="Q184" i="1"/>
  <c r="F185" i="1"/>
  <c r="G185" i="1"/>
  <c r="H185" i="1"/>
  <c r="J185" i="1"/>
  <c r="L185" i="1"/>
  <c r="M185" i="1"/>
  <c r="N185" i="1"/>
  <c r="O185" i="1"/>
  <c r="P185" i="1"/>
  <c r="Q185" i="1"/>
  <c r="F186" i="1"/>
  <c r="G186" i="1"/>
  <c r="H186" i="1"/>
  <c r="J186" i="1"/>
  <c r="L186" i="1"/>
  <c r="M186" i="1"/>
  <c r="N186" i="1"/>
  <c r="O186" i="1"/>
  <c r="P186" i="1"/>
  <c r="Q186" i="1"/>
  <c r="F187" i="1"/>
  <c r="G187" i="1"/>
  <c r="H187" i="1"/>
  <c r="J187" i="1"/>
  <c r="L187" i="1"/>
  <c r="M187" i="1"/>
  <c r="N187" i="1"/>
  <c r="O187" i="1"/>
  <c r="P187" i="1"/>
  <c r="Q187" i="1"/>
  <c r="F188" i="1"/>
  <c r="G188" i="1"/>
  <c r="H188" i="1"/>
  <c r="J188" i="1"/>
  <c r="L188" i="1"/>
  <c r="M188" i="1"/>
  <c r="N188" i="1"/>
  <c r="O188" i="1"/>
  <c r="P188" i="1"/>
  <c r="Q188" i="1"/>
  <c r="F189" i="1"/>
  <c r="G189" i="1"/>
  <c r="H189" i="1"/>
  <c r="J189" i="1"/>
  <c r="L189" i="1"/>
  <c r="M189" i="1"/>
  <c r="N189" i="1"/>
  <c r="O189" i="1"/>
  <c r="P189" i="1"/>
  <c r="Q189" i="1"/>
  <c r="F190" i="1"/>
  <c r="G190" i="1"/>
  <c r="H190" i="1"/>
  <c r="J190" i="1"/>
  <c r="L190" i="1"/>
  <c r="M190" i="1"/>
  <c r="N190" i="1"/>
  <c r="O190" i="1"/>
  <c r="P190" i="1"/>
  <c r="Q190" i="1"/>
  <c r="F191" i="1"/>
  <c r="G191" i="1"/>
  <c r="H191" i="1"/>
  <c r="J191" i="1"/>
  <c r="L191" i="1"/>
  <c r="M191" i="1"/>
  <c r="N191" i="1"/>
  <c r="O191" i="1"/>
  <c r="P191" i="1"/>
  <c r="Q191" i="1"/>
  <c r="F192" i="1"/>
  <c r="G192" i="1"/>
  <c r="H192" i="1"/>
  <c r="J192" i="1"/>
  <c r="L192" i="1"/>
  <c r="M192" i="1"/>
  <c r="N192" i="1"/>
  <c r="O192" i="1"/>
  <c r="P192" i="1"/>
  <c r="Q192" i="1"/>
  <c r="F193" i="1"/>
  <c r="G193" i="1"/>
  <c r="H193" i="1"/>
  <c r="J193" i="1"/>
  <c r="L193" i="1"/>
  <c r="M193" i="1"/>
  <c r="N193" i="1"/>
  <c r="O193" i="1"/>
  <c r="P193" i="1"/>
  <c r="Q193" i="1"/>
  <c r="F194" i="1"/>
  <c r="G194" i="1"/>
  <c r="H194" i="1"/>
  <c r="J194" i="1"/>
  <c r="L194" i="1"/>
  <c r="M194" i="1"/>
  <c r="N194" i="1"/>
  <c r="O194" i="1"/>
  <c r="P194" i="1"/>
  <c r="Q194" i="1"/>
  <c r="F195" i="1"/>
  <c r="G195" i="1"/>
  <c r="H195" i="1"/>
  <c r="J195" i="1"/>
  <c r="L195" i="1"/>
  <c r="M195" i="1"/>
  <c r="N195" i="1"/>
  <c r="O195" i="1"/>
  <c r="P195" i="1"/>
  <c r="Q195" i="1"/>
  <c r="F196" i="1"/>
  <c r="G196" i="1"/>
  <c r="H196" i="1"/>
  <c r="J196" i="1"/>
  <c r="L196" i="1"/>
  <c r="M196" i="1"/>
  <c r="N196" i="1"/>
  <c r="O196" i="1"/>
  <c r="P196" i="1"/>
  <c r="Q196" i="1"/>
  <c r="F197" i="1"/>
  <c r="G197" i="1"/>
  <c r="H197" i="1"/>
  <c r="J197" i="1"/>
  <c r="L197" i="1"/>
  <c r="M197" i="1"/>
  <c r="N197" i="1"/>
  <c r="O197" i="1"/>
  <c r="P197" i="1"/>
  <c r="Q197" i="1"/>
  <c r="F198" i="1"/>
  <c r="G198" i="1"/>
  <c r="H198" i="1"/>
  <c r="J198" i="1"/>
  <c r="L198" i="1"/>
  <c r="M198" i="1"/>
  <c r="N198" i="1"/>
  <c r="O198" i="1"/>
  <c r="P198" i="1"/>
  <c r="Q198" i="1"/>
  <c r="F199" i="1"/>
  <c r="G199" i="1"/>
  <c r="H199" i="1"/>
  <c r="J199" i="1"/>
  <c r="L199" i="1"/>
  <c r="M199" i="1"/>
  <c r="N199" i="1"/>
  <c r="O199" i="1"/>
  <c r="P199" i="1"/>
  <c r="Q199" i="1"/>
  <c r="F200" i="1"/>
  <c r="G200" i="1"/>
  <c r="H200" i="1"/>
  <c r="J200" i="1"/>
  <c r="L200" i="1"/>
  <c r="M200" i="1"/>
  <c r="N200" i="1"/>
  <c r="O200" i="1"/>
  <c r="P200" i="1"/>
  <c r="Q200" i="1"/>
  <c r="F201" i="1"/>
  <c r="G201" i="1"/>
  <c r="H201" i="1"/>
  <c r="J201" i="1"/>
  <c r="L201" i="1"/>
  <c r="M201" i="1"/>
  <c r="N201" i="1"/>
  <c r="O201" i="1"/>
  <c r="P201" i="1"/>
  <c r="Q201" i="1"/>
  <c r="F202" i="1"/>
  <c r="G202" i="1"/>
  <c r="H202" i="1"/>
  <c r="J202" i="1"/>
  <c r="L202" i="1"/>
  <c r="M202" i="1"/>
  <c r="N202" i="1"/>
  <c r="O202" i="1"/>
  <c r="P202" i="1"/>
  <c r="Q202" i="1"/>
  <c r="F203" i="1"/>
  <c r="G203" i="1"/>
  <c r="H203" i="1"/>
  <c r="J203" i="1"/>
  <c r="L203" i="1"/>
  <c r="M203" i="1"/>
  <c r="N203" i="1"/>
  <c r="O203" i="1"/>
  <c r="P203" i="1"/>
  <c r="Q203" i="1"/>
  <c r="F204" i="1"/>
  <c r="G204" i="1"/>
  <c r="H204" i="1"/>
  <c r="J204" i="1"/>
  <c r="L204" i="1" s="1"/>
  <c r="M204" i="1" s="1"/>
  <c r="N204" i="1"/>
  <c r="O204" i="1" s="1"/>
  <c r="F205" i="1"/>
  <c r="G205" i="1"/>
  <c r="H205" i="1"/>
  <c r="J205" i="1" s="1"/>
  <c r="N205" i="1"/>
  <c r="O205" i="1" s="1"/>
  <c r="F206" i="1"/>
  <c r="G206" i="1"/>
  <c r="H206" i="1"/>
  <c r="J206" i="1" s="1"/>
  <c r="N206" i="1"/>
  <c r="O206" i="1" s="1"/>
  <c r="F207" i="1"/>
  <c r="G207" i="1"/>
  <c r="H207" i="1"/>
  <c r="J207" i="1"/>
  <c r="L207" i="1"/>
  <c r="M207" i="1"/>
  <c r="N207" i="1"/>
  <c r="O207" i="1"/>
  <c r="P207" i="1"/>
  <c r="Q207" i="1"/>
  <c r="F208" i="1"/>
  <c r="G208" i="1"/>
  <c r="H208" i="1"/>
  <c r="J208" i="1"/>
  <c r="L208" i="1"/>
  <c r="M208" i="1"/>
  <c r="N208" i="1"/>
  <c r="O208" i="1"/>
  <c r="P208" i="1"/>
  <c r="Q208" i="1"/>
  <c r="F209" i="1"/>
  <c r="G209" i="1"/>
  <c r="H209" i="1"/>
  <c r="J209" i="1"/>
  <c r="L209" i="1"/>
  <c r="M209" i="1"/>
  <c r="N209" i="1"/>
  <c r="O209" i="1"/>
  <c r="P209" i="1"/>
  <c r="Q209" i="1"/>
  <c r="F210" i="1"/>
  <c r="G210" i="1"/>
  <c r="H210" i="1"/>
  <c r="J210" i="1"/>
  <c r="L210" i="1"/>
  <c r="M210" i="1"/>
  <c r="N210" i="1"/>
  <c r="O210" i="1"/>
  <c r="P210" i="1"/>
  <c r="Q210" i="1"/>
  <c r="F211" i="1"/>
  <c r="G211" i="1"/>
  <c r="H211" i="1"/>
  <c r="J211" i="1"/>
  <c r="L211" i="1"/>
  <c r="M211" i="1"/>
  <c r="N211" i="1"/>
  <c r="O211" i="1"/>
  <c r="P211" i="1"/>
  <c r="Q211" i="1"/>
  <c r="F212" i="1"/>
  <c r="G212" i="1"/>
  <c r="H212" i="1"/>
  <c r="J212" i="1"/>
  <c r="L212" i="1"/>
  <c r="M212" i="1"/>
  <c r="N212" i="1"/>
  <c r="O212" i="1"/>
  <c r="P212" i="1"/>
  <c r="Q212" i="1"/>
  <c r="F213" i="1"/>
  <c r="G213" i="1"/>
  <c r="H213" i="1"/>
  <c r="J213" i="1"/>
  <c r="L213" i="1"/>
  <c r="M213" i="1"/>
  <c r="N213" i="1"/>
  <c r="O213" i="1"/>
  <c r="P213" i="1"/>
  <c r="Q213" i="1"/>
  <c r="F214" i="1"/>
  <c r="G214" i="1"/>
  <c r="H214" i="1"/>
  <c r="J214" i="1"/>
  <c r="L214" i="1"/>
  <c r="M214" i="1"/>
  <c r="N214" i="1"/>
  <c r="O214" i="1"/>
  <c r="P214" i="1"/>
  <c r="Q214" i="1"/>
  <c r="F215" i="1"/>
  <c r="G215" i="1"/>
  <c r="H215" i="1"/>
  <c r="J215" i="1"/>
  <c r="L215" i="1"/>
  <c r="M215" i="1"/>
  <c r="N215" i="1"/>
  <c r="O215" i="1"/>
  <c r="P215" i="1"/>
  <c r="Q215" i="1"/>
  <c r="F216" i="1"/>
  <c r="G216" i="1"/>
  <c r="H216" i="1"/>
  <c r="J216" i="1"/>
  <c r="L216" i="1"/>
  <c r="M216" i="1"/>
  <c r="N216" i="1"/>
  <c r="O216" i="1"/>
  <c r="P216" i="1"/>
  <c r="Q216" i="1"/>
  <c r="F217" i="1"/>
  <c r="G217" i="1"/>
  <c r="H217" i="1"/>
  <c r="J217" i="1"/>
  <c r="L217" i="1"/>
  <c r="M217" i="1"/>
  <c r="N217" i="1"/>
  <c r="O217" i="1"/>
  <c r="P217" i="1"/>
  <c r="Q217" i="1"/>
  <c r="F218" i="1"/>
  <c r="G218" i="1"/>
  <c r="H218" i="1"/>
  <c r="J218" i="1"/>
  <c r="L218" i="1"/>
  <c r="M218" i="1"/>
  <c r="N218" i="1"/>
  <c r="O218" i="1"/>
  <c r="P218" i="1"/>
  <c r="Q218" i="1"/>
  <c r="F219" i="1"/>
  <c r="G219" i="1"/>
  <c r="H219" i="1"/>
  <c r="J219" i="1"/>
  <c r="L219" i="1"/>
  <c r="M219" i="1"/>
  <c r="N219" i="1"/>
  <c r="O219" i="1"/>
  <c r="P219" i="1"/>
  <c r="Q219" i="1"/>
  <c r="F220" i="1"/>
  <c r="G220" i="1"/>
  <c r="H220" i="1"/>
  <c r="J220" i="1"/>
  <c r="L220" i="1"/>
  <c r="M220" i="1"/>
  <c r="N220" i="1"/>
  <c r="O220" i="1"/>
  <c r="P220" i="1"/>
  <c r="Q220" i="1"/>
  <c r="F221" i="1"/>
  <c r="G221" i="1"/>
  <c r="H221" i="1"/>
  <c r="J221" i="1"/>
  <c r="L221" i="1"/>
  <c r="M221" i="1"/>
  <c r="N221" i="1"/>
  <c r="O221" i="1"/>
  <c r="P221" i="1"/>
  <c r="Q221" i="1"/>
  <c r="F222" i="1"/>
  <c r="G222" i="1"/>
  <c r="H222" i="1"/>
  <c r="J222" i="1"/>
  <c r="L222" i="1"/>
  <c r="M222" i="1"/>
  <c r="N222" i="1"/>
  <c r="O222" i="1"/>
  <c r="P222" i="1"/>
  <c r="Q222" i="1"/>
  <c r="F223" i="1"/>
  <c r="G223" i="1"/>
  <c r="H223" i="1"/>
  <c r="J223" i="1"/>
  <c r="L223" i="1"/>
  <c r="M223" i="1"/>
  <c r="N223" i="1"/>
  <c r="O223" i="1"/>
  <c r="P223" i="1"/>
  <c r="Q223" i="1"/>
  <c r="F224" i="1"/>
  <c r="G224" i="1"/>
  <c r="H224" i="1"/>
  <c r="J224" i="1"/>
  <c r="L224" i="1"/>
  <c r="M224" i="1"/>
  <c r="N224" i="1"/>
  <c r="O224" i="1"/>
  <c r="P224" i="1"/>
  <c r="Q224" i="1"/>
  <c r="F225" i="1"/>
  <c r="G225" i="1"/>
  <c r="H225" i="1"/>
  <c r="J225" i="1"/>
  <c r="L225" i="1"/>
  <c r="M225" i="1"/>
  <c r="N225" i="1"/>
  <c r="O225" i="1"/>
  <c r="P225" i="1"/>
  <c r="Q225" i="1"/>
  <c r="F226" i="1"/>
  <c r="G226" i="1"/>
  <c r="H226" i="1"/>
  <c r="J226" i="1"/>
  <c r="L226" i="1"/>
  <c r="M226" i="1"/>
  <c r="N226" i="1"/>
  <c r="O226" i="1"/>
  <c r="P226" i="1"/>
  <c r="Q226" i="1"/>
  <c r="F227" i="1"/>
  <c r="G227" i="1"/>
  <c r="H227" i="1"/>
  <c r="J227" i="1"/>
  <c r="L227" i="1"/>
  <c r="M227" i="1"/>
  <c r="N227" i="1"/>
  <c r="O227" i="1"/>
  <c r="P227" i="1"/>
  <c r="Q227" i="1"/>
  <c r="F228" i="1"/>
  <c r="G228" i="1"/>
  <c r="H228" i="1"/>
  <c r="J228" i="1"/>
  <c r="L228" i="1"/>
  <c r="M228" i="1"/>
  <c r="N228" i="1"/>
  <c r="O228" i="1"/>
  <c r="P228" i="1"/>
  <c r="Q228" i="1"/>
  <c r="F229" i="1"/>
  <c r="G229" i="1"/>
  <c r="H229" i="1"/>
  <c r="J229" i="1"/>
  <c r="L229" i="1"/>
  <c r="M229" i="1"/>
  <c r="N229" i="1"/>
  <c r="O229" i="1"/>
  <c r="P229" i="1"/>
  <c r="Q229" i="1"/>
  <c r="F230" i="1"/>
  <c r="G230" i="1"/>
  <c r="H230" i="1"/>
  <c r="J230" i="1"/>
  <c r="L230" i="1"/>
  <c r="M230" i="1"/>
  <c r="N230" i="1"/>
  <c r="O230" i="1"/>
  <c r="P230" i="1"/>
  <c r="Q230" i="1"/>
  <c r="F231" i="1"/>
  <c r="G231" i="1"/>
  <c r="H231" i="1"/>
  <c r="J231" i="1"/>
  <c r="L231" i="1"/>
  <c r="M231" i="1"/>
  <c r="N231" i="1"/>
  <c r="O231" i="1"/>
  <c r="P231" i="1"/>
  <c r="Q231" i="1"/>
  <c r="F232" i="1"/>
  <c r="G232" i="1"/>
  <c r="H232" i="1"/>
  <c r="J232" i="1"/>
  <c r="L232" i="1"/>
  <c r="M232" i="1"/>
  <c r="N232" i="1"/>
  <c r="O232" i="1"/>
  <c r="P232" i="1"/>
  <c r="Q232" i="1"/>
  <c r="F233" i="1"/>
  <c r="G233" i="1"/>
  <c r="H233" i="1"/>
  <c r="J233" i="1"/>
  <c r="L233" i="1"/>
  <c r="M233" i="1"/>
  <c r="N233" i="1"/>
  <c r="O233" i="1"/>
  <c r="P233" i="1"/>
  <c r="Q233" i="1"/>
  <c r="F234" i="1"/>
  <c r="G234" i="1"/>
  <c r="H234" i="1"/>
  <c r="J234" i="1"/>
  <c r="L234" i="1"/>
  <c r="M234" i="1"/>
  <c r="N234" i="1"/>
  <c r="O234" i="1"/>
  <c r="P234" i="1" s="1"/>
  <c r="Q234" i="1" s="1"/>
  <c r="F235" i="1"/>
  <c r="G235" i="1"/>
  <c r="H235" i="1"/>
  <c r="J235" i="1" s="1"/>
  <c r="N235" i="1"/>
  <c r="O235" i="1" s="1"/>
  <c r="F236" i="1"/>
  <c r="G236" i="1"/>
  <c r="H236" i="1"/>
  <c r="J236" i="1" s="1"/>
  <c r="N236" i="1"/>
  <c r="O236" i="1" s="1"/>
  <c r="F237" i="1"/>
  <c r="G237" i="1"/>
  <c r="H237" i="1"/>
  <c r="J237" i="1" s="1"/>
  <c r="N237" i="1"/>
  <c r="O237" i="1" s="1"/>
  <c r="F238" i="1"/>
  <c r="G238" i="1"/>
  <c r="H238" i="1"/>
  <c r="J238" i="1" s="1"/>
  <c r="N238" i="1"/>
  <c r="O238" i="1" s="1"/>
  <c r="F239" i="1"/>
  <c r="G239" i="1"/>
  <c r="H239" i="1"/>
  <c r="J239" i="1" s="1"/>
  <c r="N239" i="1"/>
  <c r="O239" i="1" s="1"/>
  <c r="F240" i="1"/>
  <c r="G240" i="1"/>
  <c r="H240" i="1"/>
  <c r="J240" i="1" s="1"/>
  <c r="N240" i="1"/>
  <c r="O240" i="1" s="1"/>
  <c r="F241" i="1"/>
  <c r="G241" i="1"/>
  <c r="H241" i="1"/>
  <c r="J241" i="1" s="1"/>
  <c r="N241" i="1"/>
  <c r="O241" i="1" s="1"/>
  <c r="F242" i="1"/>
  <c r="G242" i="1"/>
  <c r="H242" i="1"/>
  <c r="J242" i="1" s="1"/>
  <c r="N242" i="1"/>
  <c r="O242" i="1" s="1"/>
  <c r="F243" i="1"/>
  <c r="G243" i="1"/>
  <c r="H243" i="1"/>
  <c r="J243" i="1" s="1"/>
  <c r="N243" i="1"/>
  <c r="O243" i="1" s="1"/>
  <c r="F244" i="1"/>
  <c r="G244" i="1"/>
  <c r="H244" i="1"/>
  <c r="J244" i="1" s="1"/>
  <c r="N244" i="1"/>
  <c r="O244" i="1" s="1"/>
  <c r="F245" i="1"/>
  <c r="G245" i="1"/>
  <c r="H245" i="1"/>
  <c r="J245" i="1" s="1"/>
  <c r="N245" i="1"/>
  <c r="O245" i="1" s="1"/>
  <c r="F246" i="1"/>
  <c r="G246" i="1"/>
  <c r="H246" i="1"/>
  <c r="J246" i="1" s="1"/>
  <c r="N246" i="1"/>
  <c r="O246" i="1" s="1"/>
  <c r="F247" i="1"/>
  <c r="G247" i="1"/>
  <c r="H247" i="1"/>
  <c r="J247" i="1"/>
  <c r="L247" i="1"/>
  <c r="M247" i="1"/>
  <c r="N247" i="1"/>
  <c r="O247" i="1"/>
  <c r="P247" i="1"/>
  <c r="Q247" i="1"/>
  <c r="F248" i="1"/>
  <c r="G248" i="1"/>
  <c r="H248" i="1"/>
  <c r="J248" i="1"/>
  <c r="L248" i="1"/>
  <c r="M248" i="1"/>
  <c r="N248" i="1"/>
  <c r="O248" i="1"/>
  <c r="P248" i="1"/>
  <c r="Q248" i="1"/>
  <c r="F249" i="1"/>
  <c r="G249" i="1"/>
  <c r="H249" i="1"/>
  <c r="J249" i="1"/>
  <c r="L249" i="1"/>
  <c r="M249" i="1"/>
  <c r="N249" i="1"/>
  <c r="O249" i="1"/>
  <c r="P249" i="1"/>
  <c r="Q249" i="1"/>
  <c r="F250" i="1"/>
  <c r="G250" i="1"/>
  <c r="H250" i="1"/>
  <c r="J250" i="1"/>
  <c r="L250" i="1"/>
  <c r="M250" i="1"/>
  <c r="N250" i="1"/>
  <c r="O250" i="1"/>
  <c r="P250" i="1"/>
  <c r="Q250" i="1"/>
  <c r="F251" i="1"/>
  <c r="G251" i="1"/>
  <c r="H251" i="1"/>
  <c r="J251" i="1"/>
  <c r="L251" i="1"/>
  <c r="M251" i="1"/>
  <c r="N251" i="1"/>
  <c r="O251" i="1"/>
  <c r="P251" i="1"/>
  <c r="Q251" i="1"/>
  <c r="F252" i="1"/>
  <c r="G252" i="1"/>
  <c r="H252" i="1"/>
  <c r="J252" i="1"/>
  <c r="L252" i="1"/>
  <c r="M252" i="1"/>
  <c r="N252" i="1"/>
  <c r="O252" i="1"/>
  <c r="P252" i="1"/>
  <c r="Q252" i="1"/>
  <c r="F253" i="1"/>
  <c r="G253" i="1"/>
  <c r="H253" i="1"/>
  <c r="J253" i="1"/>
  <c r="L253" i="1"/>
  <c r="M253" i="1"/>
  <c r="N253" i="1"/>
  <c r="O253" i="1"/>
  <c r="P253" i="1"/>
  <c r="Q253" i="1"/>
  <c r="F254" i="1"/>
  <c r="G254" i="1"/>
  <c r="H254" i="1"/>
  <c r="J254" i="1"/>
  <c r="L254" i="1"/>
  <c r="M254" i="1"/>
  <c r="N254" i="1"/>
  <c r="O254" i="1"/>
  <c r="P254" i="1"/>
  <c r="Q254" i="1"/>
  <c r="F255" i="1"/>
  <c r="G255" i="1"/>
  <c r="H255" i="1"/>
  <c r="J255" i="1"/>
  <c r="L255" i="1"/>
  <c r="M255" i="1"/>
  <c r="N255" i="1"/>
  <c r="O255" i="1"/>
  <c r="P255" i="1"/>
  <c r="Q255" i="1"/>
  <c r="F256" i="1"/>
  <c r="G256" i="1"/>
  <c r="H256" i="1"/>
  <c r="J256" i="1"/>
  <c r="L256" i="1"/>
  <c r="M256" i="1"/>
  <c r="N256" i="1"/>
  <c r="O256" i="1"/>
  <c r="P256" i="1"/>
  <c r="Q256" i="1"/>
  <c r="F257" i="1"/>
  <c r="G257" i="1"/>
  <c r="H257" i="1"/>
  <c r="J257" i="1"/>
  <c r="L257" i="1"/>
  <c r="M257" i="1"/>
  <c r="N257" i="1"/>
  <c r="O257" i="1"/>
  <c r="P257" i="1"/>
  <c r="Q257" i="1"/>
  <c r="F258" i="1"/>
  <c r="G258" i="1"/>
  <c r="H258" i="1"/>
  <c r="J258" i="1"/>
  <c r="L258" i="1"/>
  <c r="M258" i="1"/>
  <c r="N258" i="1"/>
  <c r="O258" i="1"/>
  <c r="P258" i="1"/>
  <c r="Q258" i="1"/>
  <c r="F259" i="1"/>
  <c r="G259" i="1"/>
  <c r="H259" i="1"/>
  <c r="J259" i="1"/>
  <c r="L259" i="1"/>
  <c r="M259" i="1"/>
  <c r="N259" i="1"/>
  <c r="O259" i="1"/>
  <c r="P259" i="1"/>
  <c r="Q259" i="1"/>
  <c r="F260" i="1"/>
  <c r="G260" i="1"/>
  <c r="H260" i="1"/>
  <c r="J260" i="1"/>
  <c r="L260" i="1"/>
  <c r="M260" i="1"/>
  <c r="N260" i="1"/>
  <c r="O260" i="1"/>
  <c r="P260" i="1"/>
  <c r="Q260" i="1"/>
  <c r="F261" i="1"/>
  <c r="G261" i="1"/>
  <c r="H261" i="1"/>
  <c r="J261" i="1"/>
  <c r="L261" i="1"/>
  <c r="M261" i="1"/>
  <c r="N261" i="1"/>
  <c r="O261" i="1"/>
  <c r="P261" i="1"/>
  <c r="Q261" i="1"/>
  <c r="F262" i="1"/>
  <c r="G262" i="1"/>
  <c r="H262" i="1"/>
  <c r="J262" i="1"/>
  <c r="L262" i="1"/>
  <c r="M262" i="1"/>
  <c r="N262" i="1"/>
  <c r="O262" i="1"/>
  <c r="P262" i="1"/>
  <c r="Q262" i="1"/>
  <c r="F263" i="1"/>
  <c r="G263" i="1"/>
  <c r="H263" i="1"/>
  <c r="J263" i="1"/>
  <c r="L263" i="1"/>
  <c r="M263" i="1"/>
  <c r="N263" i="1"/>
  <c r="O263" i="1"/>
  <c r="P263" i="1"/>
  <c r="Q263" i="1"/>
  <c r="F264" i="1"/>
  <c r="G264" i="1"/>
  <c r="H264" i="1"/>
  <c r="J264" i="1"/>
  <c r="L264" i="1"/>
  <c r="M264" i="1"/>
  <c r="N264" i="1"/>
  <c r="O264" i="1"/>
  <c r="P264" i="1"/>
  <c r="Q264" i="1"/>
  <c r="F265" i="1"/>
  <c r="G265" i="1"/>
  <c r="H265" i="1"/>
  <c r="J265" i="1"/>
  <c r="L265" i="1"/>
  <c r="M265" i="1"/>
  <c r="N265" i="1"/>
  <c r="O265" i="1"/>
  <c r="P265" i="1"/>
  <c r="Q265" i="1"/>
  <c r="F266" i="1"/>
  <c r="G266" i="1"/>
  <c r="H266" i="1"/>
  <c r="J266" i="1"/>
  <c r="L266" i="1"/>
  <c r="M266" i="1"/>
  <c r="N266" i="1"/>
  <c r="O266" i="1"/>
  <c r="P266" i="1"/>
  <c r="Q266" i="1"/>
  <c r="F267" i="1"/>
  <c r="G267" i="1"/>
  <c r="H267" i="1"/>
  <c r="J267" i="1"/>
  <c r="L267" i="1"/>
  <c r="M267" i="1"/>
  <c r="N267" i="1"/>
  <c r="O267" i="1"/>
  <c r="P267" i="1"/>
  <c r="Q267" i="1"/>
  <c r="F268" i="1"/>
  <c r="G268" i="1"/>
  <c r="H268" i="1"/>
  <c r="J268" i="1"/>
  <c r="L268" i="1"/>
  <c r="M268" i="1"/>
  <c r="N268" i="1"/>
  <c r="O268" i="1"/>
  <c r="P268" i="1"/>
  <c r="Q268" i="1"/>
  <c r="F269" i="1"/>
  <c r="G269" i="1"/>
  <c r="H269" i="1"/>
  <c r="J269" i="1"/>
  <c r="L269" i="1"/>
  <c r="M269" i="1"/>
  <c r="N269" i="1"/>
  <c r="O269" i="1"/>
  <c r="P269" i="1"/>
  <c r="Q269" i="1"/>
  <c r="F270" i="1"/>
  <c r="G270" i="1"/>
  <c r="H270" i="1"/>
  <c r="J270" i="1"/>
  <c r="L270" i="1"/>
  <c r="M270" i="1"/>
  <c r="N270" i="1"/>
  <c r="O270" i="1"/>
  <c r="P270" i="1"/>
  <c r="Q270" i="1"/>
  <c r="F271" i="1"/>
  <c r="G271" i="1"/>
  <c r="H271" i="1"/>
  <c r="J271" i="1"/>
  <c r="L271" i="1"/>
  <c r="M271" i="1"/>
  <c r="N271" i="1"/>
  <c r="O271" i="1"/>
  <c r="P271" i="1"/>
  <c r="Q271" i="1"/>
  <c r="F272" i="1"/>
  <c r="G272" i="1"/>
  <c r="H272" i="1"/>
  <c r="J272" i="1"/>
  <c r="L272" i="1"/>
  <c r="M272" i="1"/>
  <c r="N272" i="1"/>
  <c r="O272" i="1"/>
  <c r="P272" i="1"/>
  <c r="Q272" i="1"/>
  <c r="F273" i="1"/>
  <c r="G273" i="1"/>
  <c r="H273" i="1"/>
  <c r="J273" i="1"/>
  <c r="L273" i="1"/>
  <c r="M273" i="1"/>
  <c r="N273" i="1"/>
  <c r="O273" i="1"/>
  <c r="P273" i="1"/>
  <c r="Q273" i="1"/>
  <c r="F274" i="1"/>
  <c r="G274" i="1"/>
  <c r="H274" i="1"/>
  <c r="J274" i="1"/>
  <c r="L274" i="1"/>
  <c r="M274" i="1"/>
  <c r="N274" i="1"/>
  <c r="O274" i="1"/>
  <c r="P274" i="1"/>
  <c r="Q274" i="1"/>
  <c r="F275" i="1"/>
  <c r="G275" i="1"/>
  <c r="H275" i="1"/>
  <c r="J275" i="1"/>
  <c r="L275" i="1"/>
  <c r="M275" i="1"/>
  <c r="N275" i="1"/>
  <c r="O275" i="1"/>
  <c r="P275" i="1"/>
  <c r="Q275" i="1"/>
  <c r="F276" i="1"/>
  <c r="G276" i="1"/>
  <c r="H276" i="1"/>
  <c r="J276" i="1"/>
  <c r="L276" i="1"/>
  <c r="M276" i="1"/>
  <c r="N276" i="1"/>
  <c r="O276" i="1"/>
  <c r="P276" i="1"/>
  <c r="Q276" i="1"/>
  <c r="F277" i="1"/>
  <c r="G277" i="1"/>
  <c r="H277" i="1"/>
  <c r="J277" i="1"/>
  <c r="L277" i="1"/>
  <c r="M277" i="1"/>
  <c r="N277" i="1"/>
  <c r="O277" i="1"/>
  <c r="P277" i="1"/>
  <c r="Q277" i="1"/>
  <c r="F278" i="1"/>
  <c r="G278" i="1"/>
  <c r="H278" i="1"/>
  <c r="J278" i="1"/>
  <c r="L278" i="1"/>
  <c r="M278" i="1"/>
  <c r="N278" i="1"/>
  <c r="O278" i="1"/>
  <c r="P278" i="1"/>
  <c r="Q278" i="1"/>
  <c r="F279" i="1"/>
  <c r="G279" i="1"/>
  <c r="H279" i="1"/>
  <c r="J279" i="1"/>
  <c r="L279" i="1"/>
  <c r="M279" i="1"/>
  <c r="N279" i="1"/>
  <c r="O279" i="1"/>
  <c r="P279" i="1"/>
  <c r="Q279" i="1"/>
  <c r="F280" i="1"/>
  <c r="G280" i="1"/>
  <c r="H280" i="1"/>
  <c r="J280" i="1"/>
  <c r="L280" i="1"/>
  <c r="M280" i="1"/>
  <c r="N280" i="1"/>
  <c r="O280" i="1"/>
  <c r="P280" i="1"/>
  <c r="Q280" i="1"/>
  <c r="F281" i="1"/>
  <c r="G281" i="1"/>
  <c r="H281" i="1"/>
  <c r="J281" i="1"/>
  <c r="L281" i="1"/>
  <c r="M281" i="1"/>
  <c r="N281" i="1"/>
  <c r="O281" i="1"/>
  <c r="P281" i="1"/>
  <c r="Q281" i="1"/>
  <c r="F282" i="1"/>
  <c r="G282" i="1"/>
  <c r="H282" i="1"/>
  <c r="J282" i="1"/>
  <c r="L282" i="1"/>
  <c r="M282" i="1"/>
  <c r="N282" i="1"/>
  <c r="O282" i="1"/>
  <c r="P282" i="1"/>
  <c r="Q282" i="1"/>
  <c r="F283" i="1"/>
  <c r="G283" i="1"/>
  <c r="H283" i="1"/>
  <c r="J283" i="1"/>
  <c r="L283" i="1"/>
  <c r="M283" i="1"/>
  <c r="N283" i="1"/>
  <c r="O283" i="1"/>
  <c r="P283" i="1"/>
  <c r="Q283" i="1"/>
  <c r="F284" i="1"/>
  <c r="G284" i="1"/>
  <c r="H284" i="1"/>
  <c r="J284" i="1"/>
  <c r="L284" i="1"/>
  <c r="M284" i="1"/>
  <c r="N284" i="1"/>
  <c r="O284" i="1"/>
  <c r="P284" i="1"/>
  <c r="Q284" i="1"/>
  <c r="F285" i="1"/>
  <c r="G285" i="1"/>
  <c r="H285" i="1"/>
  <c r="J285" i="1" s="1"/>
  <c r="N285" i="1"/>
  <c r="O285" i="1" s="1"/>
  <c r="F286" i="1"/>
  <c r="G286" i="1"/>
  <c r="H286" i="1"/>
  <c r="J286" i="1" s="1"/>
  <c r="N286" i="1"/>
  <c r="O286" i="1" s="1"/>
  <c r="F287" i="1"/>
  <c r="G287" i="1"/>
  <c r="H287" i="1"/>
  <c r="J287" i="1"/>
  <c r="L287" i="1"/>
  <c r="M287" i="1"/>
  <c r="N287" i="1"/>
  <c r="O287" i="1"/>
  <c r="P287" i="1"/>
  <c r="Q287" i="1"/>
  <c r="F288" i="1"/>
  <c r="G288" i="1"/>
  <c r="H288" i="1"/>
  <c r="J288" i="1"/>
  <c r="L288" i="1"/>
  <c r="M288" i="1"/>
  <c r="N288" i="1"/>
  <c r="O288" i="1"/>
  <c r="P288" i="1"/>
  <c r="Q288" i="1"/>
  <c r="F289" i="1"/>
  <c r="G289" i="1"/>
  <c r="H289" i="1"/>
  <c r="J289" i="1"/>
  <c r="L289" i="1"/>
  <c r="M289" i="1"/>
  <c r="N289" i="1"/>
  <c r="O289" i="1"/>
  <c r="P289" i="1"/>
  <c r="Q289" i="1"/>
  <c r="F290" i="1"/>
  <c r="G290" i="1"/>
  <c r="H290" i="1"/>
  <c r="J290" i="1"/>
  <c r="L290" i="1"/>
  <c r="M290" i="1"/>
  <c r="N290" i="1"/>
  <c r="O290" i="1"/>
  <c r="P290" i="1"/>
  <c r="Q290" i="1"/>
  <c r="F291" i="1"/>
  <c r="G291" i="1"/>
  <c r="H291" i="1"/>
  <c r="J291" i="1"/>
  <c r="L291" i="1"/>
  <c r="M291" i="1"/>
  <c r="N291" i="1"/>
  <c r="O291" i="1"/>
  <c r="P291" i="1"/>
  <c r="Q291" i="1"/>
  <c r="F292" i="1"/>
  <c r="G292" i="1"/>
  <c r="H292" i="1"/>
  <c r="J292" i="1"/>
  <c r="L292" i="1"/>
  <c r="M292" i="1"/>
  <c r="N292" i="1"/>
  <c r="O292" i="1"/>
  <c r="P292" i="1"/>
  <c r="Q292" i="1"/>
  <c r="F293" i="1"/>
  <c r="G293" i="1"/>
  <c r="H293" i="1"/>
  <c r="J293" i="1"/>
  <c r="L293" i="1"/>
  <c r="M293" i="1"/>
  <c r="N293" i="1"/>
  <c r="O293" i="1"/>
  <c r="P293" i="1"/>
  <c r="Q293" i="1"/>
  <c r="F294" i="1"/>
  <c r="G294" i="1"/>
  <c r="H294" i="1"/>
  <c r="J294" i="1"/>
  <c r="L294" i="1"/>
  <c r="M294" i="1"/>
  <c r="N294" i="1"/>
  <c r="O294" i="1"/>
  <c r="P294" i="1"/>
  <c r="Q294" i="1"/>
  <c r="F295" i="1"/>
  <c r="G295" i="1"/>
  <c r="H295" i="1"/>
  <c r="J295" i="1"/>
  <c r="L295" i="1"/>
  <c r="M295" i="1"/>
  <c r="N295" i="1"/>
  <c r="O295" i="1"/>
  <c r="P295" i="1"/>
  <c r="Q295" i="1"/>
  <c r="F296" i="1"/>
  <c r="G296" i="1"/>
  <c r="H296" i="1"/>
  <c r="J296" i="1"/>
  <c r="L296" i="1"/>
  <c r="M296" i="1"/>
  <c r="N296" i="1"/>
  <c r="O296" i="1"/>
  <c r="P296" i="1"/>
  <c r="Q296" i="1"/>
  <c r="F297" i="1"/>
  <c r="G297" i="1"/>
  <c r="H297" i="1"/>
  <c r="J297" i="1" s="1"/>
  <c r="N297" i="1"/>
  <c r="O297" i="1" s="1"/>
  <c r="F298" i="1"/>
  <c r="G298" i="1"/>
  <c r="H298" i="1"/>
  <c r="J298" i="1" s="1"/>
  <c r="N298" i="1"/>
  <c r="O298" i="1" s="1"/>
  <c r="F299" i="1"/>
  <c r="G299" i="1"/>
  <c r="H299" i="1"/>
  <c r="J299" i="1" s="1"/>
  <c r="N299" i="1"/>
  <c r="O299" i="1" s="1"/>
  <c r="F300" i="1"/>
  <c r="G300" i="1"/>
  <c r="H300" i="1"/>
  <c r="J300" i="1" s="1"/>
  <c r="N300" i="1"/>
  <c r="O300" i="1" s="1"/>
  <c r="F301" i="1"/>
  <c r="G301" i="1"/>
  <c r="H301" i="1"/>
  <c r="J301" i="1" s="1"/>
  <c r="N301" i="1"/>
  <c r="O301" i="1" s="1"/>
  <c r="F302" i="1"/>
  <c r="G302" i="1"/>
  <c r="H302" i="1"/>
  <c r="J302" i="1" s="1"/>
  <c r="N302" i="1"/>
  <c r="O302" i="1" s="1"/>
  <c r="F303" i="1"/>
  <c r="G303" i="1"/>
  <c r="H303" i="1"/>
  <c r="J303" i="1" s="1"/>
  <c r="N303" i="1"/>
  <c r="O303" i="1" s="1"/>
  <c r="F304" i="1"/>
  <c r="G304" i="1"/>
  <c r="H304" i="1"/>
  <c r="J304" i="1" s="1"/>
  <c r="N304" i="1"/>
  <c r="O304" i="1" s="1"/>
  <c r="F305" i="1"/>
  <c r="G305" i="1"/>
  <c r="H305" i="1"/>
  <c r="J305" i="1" s="1"/>
  <c r="N305" i="1"/>
  <c r="O305" i="1" s="1"/>
  <c r="F306" i="1"/>
  <c r="G306" i="1"/>
  <c r="H306" i="1"/>
  <c r="J306" i="1" s="1"/>
  <c r="N306" i="1"/>
  <c r="O306" i="1" s="1"/>
  <c r="F307" i="1"/>
  <c r="G307" i="1"/>
  <c r="H307" i="1"/>
  <c r="J307" i="1" s="1"/>
  <c r="N307" i="1"/>
  <c r="O307" i="1" s="1"/>
  <c r="F308" i="1"/>
  <c r="G308" i="1"/>
  <c r="H308" i="1"/>
  <c r="J308" i="1" s="1"/>
  <c r="N308" i="1"/>
  <c r="O308" i="1" s="1"/>
  <c r="F309" i="1"/>
  <c r="G309" i="1"/>
  <c r="H309" i="1"/>
  <c r="J309" i="1" s="1"/>
  <c r="N309" i="1"/>
  <c r="O309" i="1" s="1"/>
  <c r="F310" i="1"/>
  <c r="G310" i="1"/>
  <c r="H310" i="1"/>
  <c r="J310" i="1" s="1"/>
  <c r="N310" i="1"/>
  <c r="O310" i="1" s="1"/>
  <c r="F311" i="1"/>
  <c r="G311" i="1"/>
  <c r="H311" i="1"/>
  <c r="J311" i="1" s="1"/>
  <c r="N311" i="1"/>
  <c r="O311" i="1" s="1"/>
  <c r="F312" i="1"/>
  <c r="G312" i="1"/>
  <c r="H312" i="1"/>
  <c r="J312" i="1" s="1"/>
  <c r="N312" i="1"/>
  <c r="O312" i="1" s="1"/>
  <c r="F313" i="1"/>
  <c r="G313" i="1"/>
  <c r="H313" i="1"/>
  <c r="J313" i="1" s="1"/>
  <c r="N313" i="1"/>
  <c r="O313" i="1" s="1"/>
  <c r="F314" i="1"/>
  <c r="G314" i="1"/>
  <c r="H314" i="1"/>
  <c r="J314" i="1" s="1"/>
  <c r="N314" i="1"/>
  <c r="O314" i="1" s="1"/>
  <c r="F315" i="1"/>
  <c r="G315" i="1"/>
  <c r="H315" i="1"/>
  <c r="J315" i="1" s="1"/>
  <c r="N315" i="1"/>
  <c r="O315" i="1" s="1"/>
  <c r="F316" i="1"/>
  <c r="G316" i="1"/>
  <c r="H316" i="1"/>
  <c r="J316" i="1" s="1"/>
  <c r="N316" i="1"/>
  <c r="O316" i="1" s="1"/>
  <c r="F317" i="1"/>
  <c r="G317" i="1"/>
  <c r="H317" i="1"/>
  <c r="J317" i="1" s="1"/>
  <c r="N317" i="1"/>
  <c r="O317" i="1" s="1"/>
  <c r="F318" i="1"/>
  <c r="G318" i="1"/>
  <c r="H318" i="1"/>
  <c r="J318" i="1" s="1"/>
  <c r="N318" i="1"/>
  <c r="O318" i="1" s="1"/>
  <c r="F319" i="1"/>
  <c r="G319" i="1"/>
  <c r="H319" i="1"/>
  <c r="J319" i="1" s="1"/>
  <c r="N319" i="1"/>
  <c r="O319" i="1" s="1"/>
  <c r="F320" i="1"/>
  <c r="G320" i="1"/>
  <c r="H320" i="1"/>
  <c r="J320" i="1" s="1"/>
  <c r="N320" i="1"/>
  <c r="O320" i="1" s="1"/>
  <c r="F321" i="1"/>
  <c r="G321" i="1"/>
  <c r="H321" i="1"/>
  <c r="J321" i="1" s="1"/>
  <c r="N321" i="1"/>
  <c r="O321" i="1" s="1"/>
  <c r="B14" i="8"/>
  <c r="B15" i="8"/>
  <c r="B16" i="8"/>
  <c r="B17" i="8"/>
  <c r="B13" i="8"/>
  <c r="G7" i="9"/>
  <c r="L7" i="9" s="1"/>
  <c r="B7" i="9"/>
  <c r="G5" i="8"/>
  <c r="D14" i="8" s="1"/>
  <c r="G6" i="8"/>
  <c r="D15" i="8" s="1"/>
  <c r="G7" i="8"/>
  <c r="D16" i="8" s="1"/>
  <c r="G8" i="8"/>
  <c r="D17" i="8" s="1"/>
  <c r="G4" i="8"/>
  <c r="D13" i="8" s="1"/>
  <c r="F5" i="8"/>
  <c r="C14" i="8" s="1"/>
  <c r="F6" i="8"/>
  <c r="C15" i="8" s="1"/>
  <c r="F7" i="8"/>
  <c r="C16" i="8" s="1"/>
  <c r="F8" i="8"/>
  <c r="C17" i="8" s="1"/>
  <c r="F4" i="8"/>
  <c r="C13" i="8" s="1"/>
  <c r="J28" i="6"/>
  <c r="J29" i="6"/>
  <c r="J30" i="6"/>
  <c r="J31" i="6"/>
  <c r="J27" i="6"/>
  <c r="I28" i="6"/>
  <c r="I29" i="6"/>
  <c r="I30" i="6"/>
  <c r="I31" i="6"/>
  <c r="I27" i="6"/>
  <c r="H28" i="6"/>
  <c r="H29" i="6"/>
  <c r="H30" i="6"/>
  <c r="H31" i="6"/>
  <c r="H27" i="6"/>
  <c r="D17" i="6"/>
  <c r="D18" i="6"/>
  <c r="D19" i="6"/>
  <c r="D20" i="6"/>
  <c r="D16" i="6"/>
  <c r="P204" i="1" l="1"/>
  <c r="Q204" i="1" s="1"/>
  <c r="L113" i="1"/>
  <c r="M113" i="1" s="1"/>
  <c r="P113" i="1" s="1"/>
  <c r="Q113" i="1" s="1"/>
  <c r="L114" i="1"/>
  <c r="M114" i="1" s="1"/>
  <c r="P114" i="1" s="1"/>
  <c r="Q114" i="1" s="1"/>
  <c r="M115" i="1"/>
  <c r="P115" i="1" s="1"/>
  <c r="Q115" i="1" s="1"/>
  <c r="L115" i="1"/>
  <c r="L116" i="1"/>
  <c r="M116" i="1" s="1"/>
  <c r="P116" i="1" s="1"/>
  <c r="Q116" i="1" s="1"/>
  <c r="L124" i="1"/>
  <c r="M124" i="1" s="1"/>
  <c r="P124" i="1" s="1"/>
  <c r="Q124" i="1" s="1"/>
  <c r="L125" i="1"/>
  <c r="M125" i="1" s="1"/>
  <c r="P125" i="1" s="1"/>
  <c r="Q125" i="1" s="1"/>
  <c r="L126" i="1"/>
  <c r="M126" i="1" s="1"/>
  <c r="P126" i="1" s="1"/>
  <c r="Q126" i="1" s="1"/>
  <c r="L127" i="1"/>
  <c r="M127" i="1" s="1"/>
  <c r="P127" i="1" s="1"/>
  <c r="Q127" i="1" s="1"/>
  <c r="L167" i="1"/>
  <c r="M167" i="1" s="1"/>
  <c r="P167" i="1" s="1"/>
  <c r="Q167" i="1" s="1"/>
  <c r="L206" i="1"/>
  <c r="M206" i="1" s="1"/>
  <c r="P206" i="1" s="1"/>
  <c r="Q206" i="1" s="1"/>
  <c r="L235" i="1"/>
  <c r="M235" i="1" s="1"/>
  <c r="P235" i="1" s="1"/>
  <c r="Q235" i="1" s="1"/>
  <c r="L236" i="1"/>
  <c r="M236" i="1" s="1"/>
  <c r="P236" i="1" s="1"/>
  <c r="Q236" i="1" s="1"/>
  <c r="L237" i="1"/>
  <c r="M237" i="1" s="1"/>
  <c r="P237" i="1" s="1"/>
  <c r="Q237" i="1" s="1"/>
  <c r="L238" i="1"/>
  <c r="M238" i="1" s="1"/>
  <c r="P238" i="1" s="1"/>
  <c r="Q238" i="1" s="1"/>
  <c r="L239" i="1"/>
  <c r="M239" i="1" s="1"/>
  <c r="P239" i="1" s="1"/>
  <c r="Q239" i="1" s="1"/>
  <c r="L240" i="1"/>
  <c r="M240" i="1" s="1"/>
  <c r="P240" i="1" s="1"/>
  <c r="Q240" i="1" s="1"/>
  <c r="L241" i="1"/>
  <c r="M241" i="1" s="1"/>
  <c r="P241" i="1" s="1"/>
  <c r="Q241" i="1" s="1"/>
  <c r="L242" i="1"/>
  <c r="M242" i="1" s="1"/>
  <c r="P242" i="1" s="1"/>
  <c r="Q242" i="1" s="1"/>
  <c r="L243" i="1"/>
  <c r="M243" i="1" s="1"/>
  <c r="P243" i="1" s="1"/>
  <c r="Q243" i="1" s="1"/>
  <c r="L244" i="1"/>
  <c r="M244" i="1" s="1"/>
  <c r="P244" i="1" s="1"/>
  <c r="Q244" i="1" s="1"/>
  <c r="L245" i="1"/>
  <c r="M245" i="1"/>
  <c r="P245" i="1" s="1"/>
  <c r="Q245" i="1" s="1"/>
  <c r="L297" i="1"/>
  <c r="M297" i="1" s="1"/>
  <c r="P297" i="1" s="1"/>
  <c r="Q297" i="1" s="1"/>
  <c r="L298" i="1"/>
  <c r="M298" i="1" s="1"/>
  <c r="P298" i="1" s="1"/>
  <c r="Q298" i="1" s="1"/>
  <c r="L299" i="1"/>
  <c r="M299" i="1"/>
  <c r="P299" i="1" s="1"/>
  <c r="Q299" i="1" s="1"/>
  <c r="L300" i="1"/>
  <c r="M300" i="1" s="1"/>
  <c r="P300" i="1" s="1"/>
  <c r="Q300" i="1" s="1"/>
  <c r="L301" i="1"/>
  <c r="M301" i="1" s="1"/>
  <c r="P301" i="1" s="1"/>
  <c r="Q301" i="1" s="1"/>
  <c r="L302" i="1"/>
  <c r="M302" i="1"/>
  <c r="P302" i="1" s="1"/>
  <c r="Q302" i="1" s="1"/>
  <c r="L303" i="1"/>
  <c r="M303" i="1"/>
  <c r="P303" i="1" s="1"/>
  <c r="Q303" i="1" s="1"/>
  <c r="L304" i="1"/>
  <c r="M304" i="1"/>
  <c r="P304" i="1" s="1"/>
  <c r="Q304" i="1" s="1"/>
  <c r="L305" i="1"/>
  <c r="M305" i="1"/>
  <c r="P305" i="1" s="1"/>
  <c r="Q305" i="1" s="1"/>
  <c r="L306" i="1"/>
  <c r="M306" i="1"/>
  <c r="P306" i="1" s="1"/>
  <c r="Q306" i="1" s="1"/>
  <c r="L307" i="1"/>
  <c r="M307" i="1" s="1"/>
  <c r="P307" i="1" s="1"/>
  <c r="Q307" i="1" s="1"/>
  <c r="L308" i="1"/>
  <c r="M308" i="1"/>
  <c r="P308" i="1" s="1"/>
  <c r="Q308" i="1" s="1"/>
  <c r="L309" i="1"/>
  <c r="M309" i="1" s="1"/>
  <c r="P309" i="1" s="1"/>
  <c r="Q309" i="1" s="1"/>
  <c r="M310" i="1"/>
  <c r="P310" i="1" s="1"/>
  <c r="Q310" i="1" s="1"/>
  <c r="L310" i="1"/>
  <c r="L311" i="1"/>
  <c r="M311" i="1" s="1"/>
  <c r="P311" i="1" s="1"/>
  <c r="Q311" i="1" s="1"/>
  <c r="L312" i="1"/>
  <c r="M312" i="1"/>
  <c r="P312" i="1" s="1"/>
  <c r="Q312" i="1" s="1"/>
  <c r="L313" i="1"/>
  <c r="M313" i="1" s="1"/>
  <c r="P313" i="1" s="1"/>
  <c r="Q313" i="1" s="1"/>
  <c r="L314" i="1"/>
  <c r="M314" i="1" s="1"/>
  <c r="P314" i="1" s="1"/>
  <c r="Q314" i="1" s="1"/>
  <c r="L315" i="1"/>
  <c r="M315" i="1" s="1"/>
  <c r="P315" i="1" s="1"/>
  <c r="Q315" i="1" s="1"/>
  <c r="L316" i="1"/>
  <c r="M316" i="1"/>
  <c r="P316" i="1" s="1"/>
  <c r="Q316" i="1" s="1"/>
  <c r="L317" i="1"/>
  <c r="M317" i="1"/>
  <c r="P317" i="1" s="1"/>
  <c r="Q317" i="1" s="1"/>
  <c r="L318" i="1"/>
  <c r="M318" i="1"/>
  <c r="P318" i="1" s="1"/>
  <c r="Q318" i="1" s="1"/>
  <c r="L319" i="1"/>
  <c r="M319" i="1" s="1"/>
  <c r="P319" i="1" s="1"/>
  <c r="Q319" i="1" s="1"/>
  <c r="L320" i="1"/>
  <c r="M320" i="1" s="1"/>
  <c r="P320" i="1" s="1"/>
  <c r="Q320" i="1" s="1"/>
  <c r="L321" i="1"/>
  <c r="M321" i="1" s="1"/>
  <c r="P321" i="1" s="1"/>
  <c r="Q321" i="1" s="1"/>
  <c r="P85" i="1"/>
  <c r="Q85" i="1" s="1"/>
  <c r="L32" i="1"/>
  <c r="M32" i="1" s="1"/>
  <c r="P32" i="1" s="1"/>
  <c r="Q32" i="1" s="1"/>
  <c r="L33" i="1"/>
  <c r="M33" i="1" s="1"/>
  <c r="P33" i="1" s="1"/>
  <c r="Q33" i="1" s="1"/>
  <c r="L34" i="1"/>
  <c r="M34" i="1" s="1"/>
  <c r="P34" i="1" s="1"/>
  <c r="Q34" i="1" s="1"/>
  <c r="L35" i="1"/>
  <c r="M35" i="1" s="1"/>
  <c r="P35" i="1" s="1"/>
  <c r="Q35" i="1" s="1"/>
  <c r="L36" i="1"/>
  <c r="M36" i="1"/>
  <c r="P36" i="1" s="1"/>
  <c r="Q36" i="1" s="1"/>
  <c r="L37" i="1"/>
  <c r="M37" i="1" s="1"/>
  <c r="P37" i="1" s="1"/>
  <c r="Q37" i="1" s="1"/>
  <c r="L38" i="1"/>
  <c r="M38" i="1"/>
  <c r="P38" i="1" s="1"/>
  <c r="Q38" i="1" s="1"/>
  <c r="L39" i="1"/>
  <c r="M39" i="1" s="1"/>
  <c r="P39" i="1" s="1"/>
  <c r="Q39" i="1" s="1"/>
  <c r="L40" i="1"/>
  <c r="M40" i="1" s="1"/>
  <c r="P40" i="1" s="1"/>
  <c r="Q40" i="1" s="1"/>
  <c r="L41" i="1"/>
  <c r="M41" i="1" s="1"/>
  <c r="P41" i="1" s="1"/>
  <c r="Q41" i="1" s="1"/>
  <c r="L42" i="1"/>
  <c r="M42" i="1" s="1"/>
  <c r="P42" i="1" s="1"/>
  <c r="Q42" i="1" s="1"/>
  <c r="L83" i="1"/>
  <c r="M83" i="1" s="1"/>
  <c r="P83" i="1" s="1"/>
  <c r="Q83" i="1" s="1"/>
  <c r="L117" i="1"/>
  <c r="M117" i="1" s="1"/>
  <c r="P117" i="1" s="1"/>
  <c r="Q117" i="1" s="1"/>
  <c r="L118" i="1"/>
  <c r="M118" i="1"/>
  <c r="P118" i="1" s="1"/>
  <c r="Q118" i="1" s="1"/>
  <c r="L119" i="1"/>
  <c r="M119" i="1"/>
  <c r="P119" i="1" s="1"/>
  <c r="Q119" i="1" s="1"/>
  <c r="L120" i="1"/>
  <c r="M120" i="1" s="1"/>
  <c r="P120" i="1" s="1"/>
  <c r="Q120" i="1" s="1"/>
  <c r="L121" i="1"/>
  <c r="M121" i="1" s="1"/>
  <c r="P121" i="1" s="1"/>
  <c r="Q121" i="1" s="1"/>
  <c r="L122" i="1"/>
  <c r="M122" i="1"/>
  <c r="P122" i="1" s="1"/>
  <c r="Q122" i="1" s="1"/>
  <c r="L123" i="1"/>
  <c r="M123" i="1" s="1"/>
  <c r="P123" i="1" s="1"/>
  <c r="Q123" i="1" s="1"/>
  <c r="L205" i="1"/>
  <c r="M205" i="1" s="1"/>
  <c r="P205" i="1" s="1"/>
  <c r="Q205" i="1" s="1"/>
  <c r="L246" i="1"/>
  <c r="M246" i="1" s="1"/>
  <c r="P246" i="1" s="1"/>
  <c r="Q246" i="1" s="1"/>
  <c r="L285" i="1"/>
  <c r="M285" i="1" s="1"/>
  <c r="P285" i="1" s="1"/>
  <c r="Q285" i="1" s="1"/>
  <c r="L286" i="1"/>
  <c r="M286" i="1" s="1"/>
  <c r="P286" i="1" s="1"/>
  <c r="Q286" i="1" s="1"/>
</calcChain>
</file>

<file path=xl/sharedStrings.xml><?xml version="1.0" encoding="utf-8"?>
<sst xmlns="http://schemas.openxmlformats.org/spreadsheetml/2006/main" count="2140" uniqueCount="485">
  <si>
    <t>Order_ID</t>
  </si>
  <si>
    <t>Order_Date</t>
  </si>
  <si>
    <t>Region</t>
  </si>
  <si>
    <t>Sales_Channel</t>
  </si>
  <si>
    <t>Product_ID</t>
  </si>
  <si>
    <t>Quantity</t>
  </si>
  <si>
    <t>Discount_Pct</t>
  </si>
  <si>
    <t>Order_Status</t>
  </si>
  <si>
    <t>Sales_Rep</t>
  </si>
  <si>
    <t>NS-0001</t>
  </si>
  <si>
    <t>London</t>
  </si>
  <si>
    <t>Corporate</t>
  </si>
  <si>
    <t>P103</t>
  </si>
  <si>
    <t>Completed</t>
  </si>
  <si>
    <t>Priya</t>
  </si>
  <si>
    <t>NS-0002</t>
  </si>
  <si>
    <t>Online</t>
  </si>
  <si>
    <t>P501</t>
  </si>
  <si>
    <t>Zara</t>
  </si>
  <si>
    <t>NS-0003</t>
  </si>
  <si>
    <t>In-Store</t>
  </si>
  <si>
    <t>Cancelled</t>
  </si>
  <si>
    <t>Grace</t>
  </si>
  <si>
    <t>NS-0004</t>
  </si>
  <si>
    <t>South East</t>
  </si>
  <si>
    <t>P401</t>
  </si>
  <si>
    <t>NS-0005</t>
  </si>
  <si>
    <t>P201</t>
  </si>
  <si>
    <t>NS-0006</t>
  </si>
  <si>
    <t>West Midlands</t>
  </si>
  <si>
    <t>P102</t>
  </si>
  <si>
    <t>NS-0007</t>
  </si>
  <si>
    <t>P101</t>
  </si>
  <si>
    <t>Lewis</t>
  </si>
  <si>
    <t>NS-0008</t>
  </si>
  <si>
    <t>NS-0009</t>
  </si>
  <si>
    <t>Returned</t>
  </si>
  <si>
    <t>NS-0010</t>
  </si>
  <si>
    <t>North West</t>
  </si>
  <si>
    <t>Amira</t>
  </si>
  <si>
    <t>NS-0011</t>
  </si>
  <si>
    <t>P402</t>
  </si>
  <si>
    <t>Tom</t>
  </si>
  <si>
    <t>NS-0012</t>
  </si>
  <si>
    <t>Yorkshire</t>
  </si>
  <si>
    <t>P301</t>
  </si>
  <si>
    <t>NS-0013</t>
  </si>
  <si>
    <t>NS-0014</t>
  </si>
  <si>
    <t>Daniel</t>
  </si>
  <si>
    <t>NS-0015</t>
  </si>
  <si>
    <t>NS-0016</t>
  </si>
  <si>
    <t>NS-0017</t>
  </si>
  <si>
    <t>NS-0018</t>
  </si>
  <si>
    <t>NS-0019</t>
  </si>
  <si>
    <t>P302</t>
  </si>
  <si>
    <t>NS-0020</t>
  </si>
  <si>
    <t>NS-0021</t>
  </si>
  <si>
    <t>P502</t>
  </si>
  <si>
    <t>NS-0022</t>
  </si>
  <si>
    <t>NS-0023</t>
  </si>
  <si>
    <t>NS-0024</t>
  </si>
  <si>
    <t>NS-0025</t>
  </si>
  <si>
    <t>west midlands</t>
  </si>
  <si>
    <t>NS-0026</t>
  </si>
  <si>
    <t>NS-0027</t>
  </si>
  <si>
    <t>NS-0028</t>
  </si>
  <si>
    <t>NS-0029</t>
  </si>
  <si>
    <t>P303</t>
  </si>
  <si>
    <t>NS-0030</t>
  </si>
  <si>
    <t>NS-0031</t>
  </si>
  <si>
    <t>NS-0032</t>
  </si>
  <si>
    <t>NS-0033</t>
  </si>
  <si>
    <t>NS-0034</t>
  </si>
  <si>
    <t>NS-0035</t>
  </si>
  <si>
    <t>NS-0036</t>
  </si>
  <si>
    <t>NS-0037</t>
  </si>
  <si>
    <t>P202</t>
  </si>
  <si>
    <t>NS-0038</t>
  </si>
  <si>
    <t>NS-0039</t>
  </si>
  <si>
    <t>NS-0040</t>
  </si>
  <si>
    <t>NS-0041</t>
  </si>
  <si>
    <t>NS-0042</t>
  </si>
  <si>
    <t>NS-0043</t>
  </si>
  <si>
    <t>NS-0044</t>
  </si>
  <si>
    <t>NS-0045</t>
  </si>
  <si>
    <t>NS-0046</t>
  </si>
  <si>
    <t>NS-0047</t>
  </si>
  <si>
    <t>NS-0048</t>
  </si>
  <si>
    <t>NS-0049</t>
  </si>
  <si>
    <t>NS-0050</t>
  </si>
  <si>
    <t>NS-0051</t>
  </si>
  <si>
    <t>NS-0052</t>
  </si>
  <si>
    <t>NS-0053</t>
  </si>
  <si>
    <t>NS-0054</t>
  </si>
  <si>
    <t>NS-0055</t>
  </si>
  <si>
    <t>NS-0056</t>
  </si>
  <si>
    <t>NS-0057</t>
  </si>
  <si>
    <t>NS-0058</t>
  </si>
  <si>
    <t>P203</t>
  </si>
  <si>
    <t>NS-0059</t>
  </si>
  <si>
    <t>NS-0060</t>
  </si>
  <si>
    <t>NS-0061</t>
  </si>
  <si>
    <t>NS-0062</t>
  </si>
  <si>
    <t>NS-0063</t>
  </si>
  <si>
    <t>NS-0064</t>
  </si>
  <si>
    <t>NS-0065</t>
  </si>
  <si>
    <t>NS-0066</t>
  </si>
  <si>
    <t>NS-0067</t>
  </si>
  <si>
    <t>NS-0068</t>
  </si>
  <si>
    <t>NS-0069</t>
  </si>
  <si>
    <t>NS-0070</t>
  </si>
  <si>
    <t>NS-0071</t>
  </si>
  <si>
    <t>NS-0072</t>
  </si>
  <si>
    <t>NS-0073</t>
  </si>
  <si>
    <t>NS-0074</t>
  </si>
  <si>
    <t>NS-0075</t>
  </si>
  <si>
    <t>NS-0076</t>
  </si>
  <si>
    <t>NS-0077</t>
  </si>
  <si>
    <t>NS-0078</t>
  </si>
  <si>
    <t>NS-0079</t>
  </si>
  <si>
    <t>NS-0080</t>
  </si>
  <si>
    <t>NS-0081</t>
  </si>
  <si>
    <t>NS-0082</t>
  </si>
  <si>
    <t>NS-0083</t>
  </si>
  <si>
    <t>NS-0084</t>
  </si>
  <si>
    <t>NS-0085</t>
  </si>
  <si>
    <t>NS-0086</t>
  </si>
  <si>
    <t>NS-0087</t>
  </si>
  <si>
    <t>NS-0088</t>
  </si>
  <si>
    <t>NS-0089</t>
  </si>
  <si>
    <t>NS-0090</t>
  </si>
  <si>
    <t>NS-0091</t>
  </si>
  <si>
    <t>NS-0092</t>
  </si>
  <si>
    <t>NS-0093</t>
  </si>
  <si>
    <t>NS-0094</t>
  </si>
  <si>
    <t>NS-0095</t>
  </si>
  <si>
    <t>NS-0096</t>
  </si>
  <si>
    <t>NS-0097</t>
  </si>
  <si>
    <t>NS-0098</t>
  </si>
  <si>
    <t>NS-0099</t>
  </si>
  <si>
    <t>NS-0100</t>
  </si>
  <si>
    <t>NS-0101</t>
  </si>
  <si>
    <t>NS-0102</t>
  </si>
  <si>
    <t>NS-0103</t>
  </si>
  <si>
    <t>NS-0104</t>
  </si>
  <si>
    <t>NS-0105</t>
  </si>
  <si>
    <t>NS-0106</t>
  </si>
  <si>
    <t>NS-0107</t>
  </si>
  <si>
    <t>NS-0108</t>
  </si>
  <si>
    <t>NS-0109</t>
  </si>
  <si>
    <t>NS-0110</t>
  </si>
  <si>
    <t>NS-0111</t>
  </si>
  <si>
    <t>NS-0112</t>
  </si>
  <si>
    <t>NS-0113</t>
  </si>
  <si>
    <t>NS-0114</t>
  </si>
  <si>
    <t>NS-0115</t>
  </si>
  <si>
    <t>NS-0116</t>
  </si>
  <si>
    <t>NS-0117</t>
  </si>
  <si>
    <t>NS-0118</t>
  </si>
  <si>
    <t>NS-0119</t>
  </si>
  <si>
    <t>NS-0120</t>
  </si>
  <si>
    <t>NS-0121</t>
  </si>
  <si>
    <t>NS-0122</t>
  </si>
  <si>
    <t>NS-0123</t>
  </si>
  <si>
    <t>NS-0124</t>
  </si>
  <si>
    <t>NS-0125</t>
  </si>
  <si>
    <t>NS-0126</t>
  </si>
  <si>
    <t>NS-0127</t>
  </si>
  <si>
    <t>NS-0128</t>
  </si>
  <si>
    <t>NS-0129</t>
  </si>
  <si>
    <t>NS-0130</t>
  </si>
  <si>
    <t>NS-0131</t>
  </si>
  <si>
    <t>NS-0132</t>
  </si>
  <si>
    <t>NS-0133</t>
  </si>
  <si>
    <t>NS-0134</t>
  </si>
  <si>
    <t>NS-0135</t>
  </si>
  <si>
    <t>NS-0136</t>
  </si>
  <si>
    <t>NS-0137</t>
  </si>
  <si>
    <t>NS-0138</t>
  </si>
  <si>
    <t>NS-0139</t>
  </si>
  <si>
    <t>NS-0140</t>
  </si>
  <si>
    <t>NS-0141</t>
  </si>
  <si>
    <t>NS-0142</t>
  </si>
  <si>
    <t>NS-0143</t>
  </si>
  <si>
    <t>NS-0144</t>
  </si>
  <si>
    <t>NS-0145</t>
  </si>
  <si>
    <t>NS-0146</t>
  </si>
  <si>
    <t>NS-0147</t>
  </si>
  <si>
    <t>NS-0148</t>
  </si>
  <si>
    <t>NS-0149</t>
  </si>
  <si>
    <t>NS-0150</t>
  </si>
  <si>
    <t>NS-0151</t>
  </si>
  <si>
    <t>NS-0152</t>
  </si>
  <si>
    <t>NS-0153</t>
  </si>
  <si>
    <t>NS-0154</t>
  </si>
  <si>
    <t>NS-0155</t>
  </si>
  <si>
    <t>NS-0156</t>
  </si>
  <si>
    <t>NS-0157</t>
  </si>
  <si>
    <t>NS-0158</t>
  </si>
  <si>
    <t>NS-0159</t>
  </si>
  <si>
    <t>NS-0160</t>
  </si>
  <si>
    <t>NS-0161</t>
  </si>
  <si>
    <t>NS-0162</t>
  </si>
  <si>
    <t>NS-0163</t>
  </si>
  <si>
    <t>NS-0164</t>
  </si>
  <si>
    <t>NS-0165</t>
  </si>
  <si>
    <t>NS-0166</t>
  </si>
  <si>
    <t>NS-0167</t>
  </si>
  <si>
    <t>NS-0168</t>
  </si>
  <si>
    <t>NS-0169</t>
  </si>
  <si>
    <t>NS-0170</t>
  </si>
  <si>
    <t>NS-0171</t>
  </si>
  <si>
    <t>NS-0172</t>
  </si>
  <si>
    <t>NS-0173</t>
  </si>
  <si>
    <t>NS-0174</t>
  </si>
  <si>
    <t>NS-0175</t>
  </si>
  <si>
    <t>NS-0176</t>
  </si>
  <si>
    <t>NS-0177</t>
  </si>
  <si>
    <t>NS-0178</t>
  </si>
  <si>
    <t>NS-0179</t>
  </si>
  <si>
    <t>NS-0180</t>
  </si>
  <si>
    <t>NS-0181</t>
  </si>
  <si>
    <t>NS-0182</t>
  </si>
  <si>
    <t>NS-0183</t>
  </si>
  <si>
    <t>NS-0184</t>
  </si>
  <si>
    <t>NS-0185</t>
  </si>
  <si>
    <t>NS-0186</t>
  </si>
  <si>
    <t>NS-0187</t>
  </si>
  <si>
    <t>NS-0188</t>
  </si>
  <si>
    <t>NS-0189</t>
  </si>
  <si>
    <t>NS-0190</t>
  </si>
  <si>
    <t>NS-0191</t>
  </si>
  <si>
    <t>NS-0192</t>
  </si>
  <si>
    <t>NS-0193</t>
  </si>
  <si>
    <t>NS-0194</t>
  </si>
  <si>
    <t>NS-0195</t>
  </si>
  <si>
    <t>NS-0196</t>
  </si>
  <si>
    <t>NS-0197</t>
  </si>
  <si>
    <t>NS-0198</t>
  </si>
  <si>
    <t>NS-0199</t>
  </si>
  <si>
    <t>NS-0200</t>
  </si>
  <si>
    <t>NS-0201</t>
  </si>
  <si>
    <t>NS-0202</t>
  </si>
  <si>
    <t>NS-0203</t>
  </si>
  <si>
    <t>NS-0204</t>
  </si>
  <si>
    <t>NS-0205</t>
  </si>
  <si>
    <t>NS-0206</t>
  </si>
  <si>
    <t>NS-0207</t>
  </si>
  <si>
    <t>NS-0208</t>
  </si>
  <si>
    <t>NS-0209</t>
  </si>
  <si>
    <t>NS-0210</t>
  </si>
  <si>
    <t>NS-0211</t>
  </si>
  <si>
    <t>NS-0212</t>
  </si>
  <si>
    <t>NS-0213</t>
  </si>
  <si>
    <t>NS-0214</t>
  </si>
  <si>
    <t>NS-0215</t>
  </si>
  <si>
    <t>NS-0216</t>
  </si>
  <si>
    <t>NS-0217</t>
  </si>
  <si>
    <t>NS-0218</t>
  </si>
  <si>
    <t>NS-0219</t>
  </si>
  <si>
    <t>NS-0220</t>
  </si>
  <si>
    <t>NS-0221</t>
  </si>
  <si>
    <t>NS-0222</t>
  </si>
  <si>
    <t>NS-0223</t>
  </si>
  <si>
    <t>NS-0224</t>
  </si>
  <si>
    <t>NS-0225</t>
  </si>
  <si>
    <t>NS-0226</t>
  </si>
  <si>
    <t>NS-0227</t>
  </si>
  <si>
    <t>NS-0228</t>
  </si>
  <si>
    <t>NS-0229</t>
  </si>
  <si>
    <t>NS-0230</t>
  </si>
  <si>
    <t>NS-0231</t>
  </si>
  <si>
    <t>NS-0232</t>
  </si>
  <si>
    <t>NS-0233</t>
  </si>
  <si>
    <t>NS-0234</t>
  </si>
  <si>
    <t>NS-0235</t>
  </si>
  <si>
    <t>NS-0236</t>
  </si>
  <si>
    <t>NS-0237</t>
  </si>
  <si>
    <t>NS-0238</t>
  </si>
  <si>
    <t>NS-0239</t>
  </si>
  <si>
    <t>NS-0240</t>
  </si>
  <si>
    <t>NS-0241</t>
  </si>
  <si>
    <t>NS-0242</t>
  </si>
  <si>
    <t>NS-0243</t>
  </si>
  <si>
    <t>NS-0244</t>
  </si>
  <si>
    <t>NS-0245</t>
  </si>
  <si>
    <t>NS-0246</t>
  </si>
  <si>
    <t>NS-0247</t>
  </si>
  <si>
    <t>NS-0248</t>
  </si>
  <si>
    <t>NS-0249</t>
  </si>
  <si>
    <t>NS-0250</t>
  </si>
  <si>
    <t>NS-0251</t>
  </si>
  <si>
    <t>NS-0252</t>
  </si>
  <si>
    <t>NS-0253</t>
  </si>
  <si>
    <t>NS-0254</t>
  </si>
  <si>
    <t>NS-0255</t>
  </si>
  <si>
    <t>NS-0256</t>
  </si>
  <si>
    <t>NS-0257</t>
  </si>
  <si>
    <t>NS-0258</t>
  </si>
  <si>
    <t>NS-0259</t>
  </si>
  <si>
    <t>NS-0260</t>
  </si>
  <si>
    <t>NS-0261</t>
  </si>
  <si>
    <t>NS-0262</t>
  </si>
  <si>
    <t>NS-0263</t>
  </si>
  <si>
    <t>NS-0264</t>
  </si>
  <si>
    <t>NS-0265</t>
  </si>
  <si>
    <t>NS-0266</t>
  </si>
  <si>
    <t>NS-0267</t>
  </si>
  <si>
    <t>NS-0268</t>
  </si>
  <si>
    <t>NS-0269</t>
  </si>
  <si>
    <t>NS-0270</t>
  </si>
  <si>
    <t>NS-0271</t>
  </si>
  <si>
    <t>NS-0272</t>
  </si>
  <si>
    <t>NS-0273</t>
  </si>
  <si>
    <t>NS-0274</t>
  </si>
  <si>
    <t>NS-0275</t>
  </si>
  <si>
    <t>NS-0276</t>
  </si>
  <si>
    <t>NS-0277</t>
  </si>
  <si>
    <t>NS-0278</t>
  </si>
  <si>
    <t>NS-0279</t>
  </si>
  <si>
    <t>NS-0280</t>
  </si>
  <si>
    <t>NS-0281</t>
  </si>
  <si>
    <t>NS-0282</t>
  </si>
  <si>
    <t>NS-0283</t>
  </si>
  <si>
    <t>NS-0284</t>
  </si>
  <si>
    <t>NS-0285</t>
  </si>
  <si>
    <t>NS-0286</t>
  </si>
  <si>
    <t>NS-0287</t>
  </si>
  <si>
    <t>NS-0288</t>
  </si>
  <si>
    <t>NS-0289</t>
  </si>
  <si>
    <t>NS-0290</t>
  </si>
  <si>
    <t>NS-0291</t>
  </si>
  <si>
    <t>NS-0292</t>
  </si>
  <si>
    <t>NS-0293</t>
  </si>
  <si>
    <t>NS-0294</t>
  </si>
  <si>
    <t>NS-0295</t>
  </si>
  <si>
    <t>NS-0296</t>
  </si>
  <si>
    <t>NS-0297</t>
  </si>
  <si>
    <t>NS-0298</t>
  </si>
  <si>
    <t>NS-0299</t>
  </si>
  <si>
    <t>NS-0300</t>
  </si>
  <si>
    <t>NS-0301</t>
  </si>
  <si>
    <t>NS-0302</t>
  </si>
  <si>
    <t>NS-0303</t>
  </si>
  <si>
    <t>NS-0304</t>
  </si>
  <si>
    <t>NS-0305</t>
  </si>
  <si>
    <t>NS-0306</t>
  </si>
  <si>
    <t>NS-0307</t>
  </si>
  <si>
    <t>NS-0308</t>
  </si>
  <si>
    <t>NS-0309</t>
  </si>
  <si>
    <t>NS-0310</t>
  </si>
  <si>
    <t>NS-0311</t>
  </si>
  <si>
    <t>NS-0312</t>
  </si>
  <si>
    <t>NS-0313</t>
  </si>
  <si>
    <t>NS-0314</t>
  </si>
  <si>
    <t>NS-0315</t>
  </si>
  <si>
    <t>NS-0316</t>
  </si>
  <si>
    <t>NS-0317</t>
  </si>
  <si>
    <t>NS-0318</t>
  </si>
  <si>
    <t>NS-0319</t>
  </si>
  <si>
    <t>NS-0320</t>
  </si>
  <si>
    <t>Product_Name</t>
  </si>
  <si>
    <t>Category</t>
  </si>
  <si>
    <t>Unit_Price_GBP</t>
  </si>
  <si>
    <t>Unit_Cost_GBP</t>
  </si>
  <si>
    <t>Sofa</t>
  </si>
  <si>
    <t>Furniture</t>
  </si>
  <si>
    <t>Dining Chair</t>
  </si>
  <si>
    <t>Desk</t>
  </si>
  <si>
    <t>Kettle</t>
  </si>
  <si>
    <t>Kitchenware</t>
  </si>
  <si>
    <t>Cookware Set</t>
  </si>
  <si>
    <t>Blender</t>
  </si>
  <si>
    <t>Cushion Set</t>
  </si>
  <si>
    <t>Home Accessories</t>
  </si>
  <si>
    <t>Wall Mirror</t>
  </si>
  <si>
    <t>Rug</t>
  </si>
  <si>
    <t>Table Lamp</t>
  </si>
  <si>
    <t>Lighting</t>
  </si>
  <si>
    <t>Floor Lamp</t>
  </si>
  <si>
    <t>Storage Box</t>
  </si>
  <si>
    <t>Storage</t>
  </si>
  <si>
    <t>Shelving Unit</t>
  </si>
  <si>
    <t>NORTHSTAR | EXCEL PROJECT 01</t>
  </si>
  <si>
    <t>Role</t>
  </si>
  <si>
    <t>Junior Data Analyst</t>
  </si>
  <si>
    <t>Period</t>
  </si>
  <si>
    <t>January–June 2026</t>
  </si>
  <si>
    <t>Business objective</t>
  </si>
  <si>
    <t>Investigate sales performance, profitability and discounts.</t>
  </si>
  <si>
    <t>QUESTIONS FROM MANAGEMENT</t>
  </si>
  <si>
    <t>1</t>
  </si>
  <si>
    <t>How much revenue and profit did we generate?</t>
  </si>
  <si>
    <t>2</t>
  </si>
  <si>
    <t>Which regions perform best and worst?</t>
  </si>
  <si>
    <t>3</t>
  </si>
  <si>
    <t>Which categories generate most revenue and profit?</t>
  </si>
  <si>
    <t>4</t>
  </si>
  <si>
    <t>What is the monthly sales trend?</t>
  </si>
  <si>
    <t>5</t>
  </si>
  <si>
    <t>How are discounts related to profitability?</t>
  </si>
  <si>
    <t>6</t>
  </si>
  <si>
    <t>What three actions should management consider?</t>
  </si>
  <si>
    <t>DELIVERABLES</t>
  </si>
  <si>
    <t>A</t>
  </si>
  <si>
    <t>Cleaned, documented transaction data</t>
  </si>
  <si>
    <t>B</t>
  </si>
  <si>
    <t>Analysis with calculations and summaries</t>
  </si>
  <si>
    <t>C</t>
  </si>
  <si>
    <t>One-page management dashboard</t>
  </si>
  <si>
    <t>D</t>
  </si>
  <si>
    <t>Three evidence-based recommendations</t>
  </si>
  <si>
    <t>BUSINESS RULES</t>
  </si>
  <si>
    <t>Use Completed orders for recognised sales and profit.</t>
  </si>
  <si>
    <t>Revenue = Quantity × Unit Price × (1 − Discount).</t>
  </si>
  <si>
    <t>Cost = Quantity × Unit Cost; Profit = Revenue − Cost.</t>
  </si>
  <si>
    <t>Product prices and costs are in Product_Lookup.</t>
  </si>
  <si>
    <t>Discounts are stored as percentages (e.g. 0.10 = 10%).</t>
  </si>
  <si>
    <t>Returns and cancellations should be investigated, not silently deleted.</t>
  </si>
  <si>
    <t>7</t>
  </si>
  <si>
    <t>Document any data quality decisions and assumptions.</t>
  </si>
  <si>
    <t>START HERE</t>
  </si>
  <si>
    <t>Step 1</t>
  </si>
  <si>
    <t>Explore both data sheets and inspect data quality.</t>
  </si>
  <si>
    <t>Step 2</t>
  </si>
  <si>
    <t>Write your own plan before calculating anything.</t>
  </si>
  <si>
    <t>Step 3</t>
  </si>
  <si>
    <t>Send your plan for feedback; then continue independently.</t>
  </si>
  <si>
    <t>Product_Category</t>
  </si>
  <si>
    <t>Unit_Price</t>
  </si>
  <si>
    <t>Gross_Sales</t>
  </si>
  <si>
    <t>Discount_Amt</t>
  </si>
  <si>
    <t>Net_Sales</t>
  </si>
  <si>
    <t>Total_Cost</t>
  </si>
  <si>
    <t>Gross_profit</t>
  </si>
  <si>
    <t>Unit_Cost</t>
  </si>
  <si>
    <t>Gross_Pft_Mgn(%)</t>
  </si>
  <si>
    <t>Column Labels</t>
  </si>
  <si>
    <t>Grand Total</t>
  </si>
  <si>
    <t>Row Labels</t>
  </si>
  <si>
    <t>Sum of Net_Sales</t>
  </si>
  <si>
    <t>Sum of Gross_profit</t>
  </si>
  <si>
    <t>Unknown</t>
  </si>
  <si>
    <t>Gross profit margin</t>
  </si>
  <si>
    <t>Sum of Discount_Amt</t>
  </si>
  <si>
    <t>Sum of Gross_Sales</t>
  </si>
  <si>
    <t>Sum of Total_Cost</t>
  </si>
  <si>
    <t>Sum of Quantity</t>
  </si>
  <si>
    <t>Product Category</t>
  </si>
  <si>
    <t>Regional Analysis</t>
  </si>
  <si>
    <t>Category Sales Drivers</t>
  </si>
  <si>
    <t>avg unit cost</t>
  </si>
  <si>
    <t>cost as % of net sales</t>
  </si>
  <si>
    <t>Monthly Analysis</t>
  </si>
  <si>
    <t>Jan</t>
  </si>
  <si>
    <t>Feb</t>
  </si>
  <si>
    <t>Mar</t>
  </si>
  <si>
    <t>Apr</t>
  </si>
  <si>
    <t>May</t>
  </si>
  <si>
    <t>Jun</t>
  </si>
  <si>
    <t>Discount rate</t>
  </si>
  <si>
    <t>Discount Analysis</t>
  </si>
  <si>
    <t>NORTHSTAR | SALES PERFORMANCE DASHBOARD</t>
  </si>
  <si>
    <t>JANUARY - JUNE 2026 | Completed Orders</t>
  </si>
  <si>
    <t>NET SALES</t>
  </si>
  <si>
    <t>GROSS PROFIT</t>
  </si>
  <si>
    <t>GROSS PROFIT MARGIN</t>
  </si>
  <si>
    <t>Discount Rate</t>
  </si>
  <si>
    <t>Gross Profit Margin</t>
  </si>
  <si>
    <t>Net_Sales (£)</t>
  </si>
  <si>
    <t>Gross_Profit(£)</t>
  </si>
  <si>
    <t>Reporting Period: January - June 2026 | Completed Orders Only</t>
  </si>
  <si>
    <t>Executive Summary:</t>
  </si>
  <si>
    <t>West Midlands was the strongest-performing region, while Yorkshire recorded the lowest regional revenue. Furniture generated the highest revenue and gross profit among product categories, although Home Accessories achieved the highest profit margin.</t>
  </si>
  <si>
    <t>Management Recommendations:</t>
  </si>
  <si>
    <t>2. Improve sales planning: Investigate the January-April sales decline and review historical sales patterns to support better inventory and marketing decisions.</t>
  </si>
  <si>
    <t>3. Explore Yorkshire growth opportunities: Identify high-performing products and customer preferences to inform targeted sales and promotional strategies.</t>
  </si>
  <si>
    <t>Data Limitations:</t>
  </si>
  <si>
    <t>The analysis covers January to June 2026 and includes only Completed orders. Cancelled and Returned orders were excluded from recognised revenue and profit.</t>
  </si>
  <si>
    <t>One Completed order had an unknown region. This transaction was included in company-wide totals but excluded from regional comparisons.</t>
  </si>
  <si>
    <t>The six-month reporting period is insufficient to establish long-term trends or seasonality. Further investigation would require additional historical sales and customer data.</t>
  </si>
  <si>
    <t>Monthly sales generally declined from January to April before recovering  in May and June. Discount analysis showed no consistent relationship between higher category discount rates and lower gross profit margins.</t>
  </si>
  <si>
    <t>NORTHSTAR HOME &amp; LIVING LTD |SALES PERFORMANCE SUMMARY</t>
  </si>
  <si>
    <t>1. Review Furniture profitability: Examine supplier's costs, pricing and individual product margins to identify opportunities for improving the category's 31.17% gross profit margin.</t>
  </si>
  <si>
    <t>Northstar Home &amp; Living generated £121,406.65 in Net Sales and £42,461.65 in Gross Profit between January and June 2026, achieving an overall Gross Profit Margin of 34.97%.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</si>
</sst>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\£#,##0.00"/>
    <numFmt numFmtId="165" formatCode="dd\ mmm\ yyyy"/>
    <numFmt numFmtId="166" formatCode="_-[$£-809]* #,##0.00_-;\-[$£-809]* #,##0.00_-;_-[$£-809]* &quot;-&quot;??_-;_-@_-"/>
  </numFmts>
  <fonts count="14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6"/>
      <name val="Carlito"/>
    </font>
    <font>
      <b/>
      <sz val="14"/>
      <color rgb="FF002060"/>
      <name val="Carlito"/>
    </font>
    <font>
      <b/>
      <sz val="16"/>
      <color rgb="FF002060"/>
      <name val="Carlito"/>
    </font>
    <font>
      <b/>
      <sz val="20"/>
      <color rgb="FF002060"/>
      <name val="Carlito"/>
    </font>
    <font>
      <b/>
      <sz val="26"/>
      <color theme="0"/>
      <name val="Carlito"/>
    </font>
    <font>
      <sz val="26"/>
      <name val="Carlito"/>
    </font>
    <font>
      <b/>
      <sz val="48"/>
      <color rgb="FF002060"/>
      <name val="Carlito"/>
    </font>
    <font>
      <b/>
      <sz val="11"/>
      <name val="Carlito"/>
    </font>
    <font>
      <b/>
      <sz val="11"/>
      <color rgb="FF002060"/>
      <name val="Carlito"/>
    </font>
    <font>
      <sz val="11"/>
      <color rgb="FF002060"/>
      <name val="Carlito"/>
    </font>
    <font>
      <b/>
      <sz val="44"/>
      <color rgb="FF00206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2" borderId="0" xfId="0" applyFont="1" applyFill="1" applyAlignment="1">
      <alignment wrapText="1"/>
    </xf>
    <xf numFmtId="2" fontId="1" fillId="2" borderId="0" xfId="0" applyNumberFormat="1" applyFont="1" applyFill="1"/>
    <xf numFmtId="2" fontId="0" fillId="0" borderId="0" xfId="0" applyNumberFormat="1"/>
    <xf numFmtId="9" fontId="0" fillId="0" borderId="0" xfId="2" applyFont="1"/>
    <xf numFmtId="10" fontId="1" fillId="2" borderId="0" xfId="2" applyNumberFormat="1" applyFont="1" applyFill="1"/>
    <xf numFmtId="10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1" applyNumberFormat="1" applyFont="1"/>
    <xf numFmtId="10" fontId="0" fillId="0" borderId="0" xfId="0" applyNumberFormat="1"/>
    <xf numFmtId="0" fontId="4" fillId="0" borderId="0" xfId="0" applyFont="1"/>
    <xf numFmtId="0" fontId="6" fillId="0" borderId="0" xfId="0" applyFont="1" applyAlignment="1">
      <alignment horizontal="left" vertical="top"/>
    </xf>
    <xf numFmtId="0" fontId="10" fillId="0" borderId="0" xfId="0" applyFont="1"/>
    <xf numFmtId="0" fontId="11" fillId="5" borderId="0" xfId="0" applyFont="1" applyFill="1"/>
    <xf numFmtId="0" fontId="0" fillId="5" borderId="0" xfId="0" applyFill="1"/>
    <xf numFmtId="0" fontId="10" fillId="5" borderId="0" xfId="0" applyFont="1" applyFill="1"/>
    <xf numFmtId="0" fontId="12" fillId="5" borderId="0" xfId="0" applyFont="1" applyFill="1"/>
    <xf numFmtId="0" fontId="0" fillId="0" borderId="0" xfId="0" applyAlignment="1">
      <alignment vertical="top" wrapText="1"/>
    </xf>
    <xf numFmtId="0" fontId="11" fillId="0" borderId="0" xfId="0" applyFont="1"/>
    <xf numFmtId="0" fontId="0" fillId="0" borderId="0" xfId="0" applyAlignment="1">
      <alignment horizontal="left" vertical="top" wrapText="1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166" fontId="13" fillId="4" borderId="0" xfId="0" applyNumberFormat="1" applyFont="1" applyFill="1" applyAlignment="1">
      <alignment horizontal="center" vertical="top"/>
    </xf>
    <xf numFmtId="166" fontId="9" fillId="4" borderId="0" xfId="0" applyNumberFormat="1" applyFont="1" applyFill="1" applyAlignment="1">
      <alignment horizontal="center" vertical="top"/>
    </xf>
    <xf numFmtId="10" fontId="9" fillId="4" borderId="0" xfId="2" applyNumberFormat="1" applyFont="1" applyFill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3" formatCode="0%"/>
    </dxf>
    <dxf>
      <numFmt numFmtId="165" formatCode="dd\ mmm\ yyyy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[Northstar_Excel_Project_1.xlsx]Pivot_Table!PivotTable7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rgbClr val="002060"/>
                </a:solidFill>
              </a:rPr>
              <a:t>Monthly</a:t>
            </a:r>
            <a:r>
              <a:rPr lang="en-GB" b="1" baseline="0">
                <a:solidFill>
                  <a:srgbClr val="002060"/>
                </a:solidFill>
              </a:rPr>
              <a:t> Sales &amp; Gross Proft Trend</a:t>
            </a:r>
            <a:endParaRPr lang="en-GB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206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tx1">
                <a:lumMod val="65000"/>
                <a:lumOff val="35000"/>
              </a:schemeClr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00206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tx1">
                <a:lumMod val="65000"/>
                <a:lumOff val="35000"/>
              </a:schemeClr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1750" cap="rnd">
            <a:solidFill>
              <a:srgbClr val="FFC000"/>
            </a:solidFill>
            <a:round/>
          </a:ln>
          <a:effectLst/>
        </c:spPr>
        <c:marker>
          <c:symbol val="circle"/>
          <c:size val="5"/>
          <c:spPr>
            <a:solidFill>
              <a:schemeClr val="tx1">
                <a:lumMod val="65000"/>
                <a:lumOff val="35000"/>
              </a:schemeClr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Pivot_Table!$B$36</c:f>
              <c:strCache>
                <c:ptCount val="1"/>
                <c:pt idx="0">
                  <c:v>Net_Sales (£)</c:v>
                </c:pt>
              </c:strCache>
            </c:strRef>
          </c:tx>
          <c:spPr>
            <a:ln w="317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Pivot_Table!$A$37:$A$43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Pivot_Table!$B$37:$B$43</c:f>
              <c:numCache>
                <c:formatCode>0.00</c:formatCode>
                <c:ptCount val="6"/>
                <c:pt idx="0">
                  <c:v>24464.25</c:v>
                </c:pt>
                <c:pt idx="1">
                  <c:v>18211.5</c:v>
                </c:pt>
                <c:pt idx="2">
                  <c:v>18350.350000000002</c:v>
                </c:pt>
                <c:pt idx="3">
                  <c:v>17114.25</c:v>
                </c:pt>
                <c:pt idx="4">
                  <c:v>20006.949999999997</c:v>
                </c:pt>
                <c:pt idx="5">
                  <c:v>23259.35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4-4D2D-9BD1-291D87459452}"/>
            </c:ext>
          </c:extLst>
        </c:ser>
        <c:ser>
          <c:idx val="1"/>
          <c:order val="1"/>
          <c:tx>
            <c:strRef>
              <c:f>Pivot_Table!$C$36</c:f>
              <c:strCache>
                <c:ptCount val="1"/>
                <c:pt idx="0">
                  <c:v>Gross_Profit(£)</c:v>
                </c:pt>
              </c:strCache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Pivot_Table!$A$37:$A$43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Pivot_Table!$C$37:$C$43</c:f>
              <c:numCache>
                <c:formatCode>0.00</c:formatCode>
                <c:ptCount val="6"/>
                <c:pt idx="0">
                  <c:v>8740.25</c:v>
                </c:pt>
                <c:pt idx="1">
                  <c:v>6733.4999999999991</c:v>
                </c:pt>
                <c:pt idx="2">
                  <c:v>6414.3499999999995</c:v>
                </c:pt>
                <c:pt idx="3">
                  <c:v>5545.25</c:v>
                </c:pt>
                <c:pt idx="4">
                  <c:v>7057.95</c:v>
                </c:pt>
                <c:pt idx="5">
                  <c:v>7970.35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A4-4D2D-9BD1-291D87459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348160"/>
        <c:axId val="1616343360"/>
      </c:lineChart>
      <c:catAx>
        <c:axId val="161634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343360"/>
        <c:crosses val="autoZero"/>
        <c:auto val="1"/>
        <c:lblAlgn val="ctr"/>
        <c:lblOffset val="100"/>
        <c:noMultiLvlLbl val="0"/>
      </c:catAx>
      <c:valAx>
        <c:axId val="16163433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£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34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00B0F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[Northstar_Excel_Project_1.xlsx]Pivot_Table!PivotTable3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rgbClr val="002060"/>
                </a:solidFill>
              </a:rPr>
              <a:t>Net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£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&quot;£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Pivot_Table!$A$4:$A$9</c:f>
              <c:strCache>
                <c:ptCount val="5"/>
                <c:pt idx="0">
                  <c:v>Yorkshire</c:v>
                </c:pt>
                <c:pt idx="1">
                  <c:v>London</c:v>
                </c:pt>
                <c:pt idx="2">
                  <c:v>North West</c:v>
                </c:pt>
                <c:pt idx="3">
                  <c:v>South East</c:v>
                </c:pt>
                <c:pt idx="4">
                  <c:v>West Midlands</c:v>
                </c:pt>
              </c:strCache>
            </c:strRef>
          </c:cat>
          <c:val>
            <c:numRef>
              <c:f>Pivot_Table!$B$4:$B$9</c:f>
              <c:numCache>
                <c:formatCode>0.00</c:formatCode>
                <c:ptCount val="5"/>
                <c:pt idx="0">
                  <c:v>17988.949999999997</c:v>
                </c:pt>
                <c:pt idx="1">
                  <c:v>24315.200000000001</c:v>
                </c:pt>
                <c:pt idx="2">
                  <c:v>24415.15</c:v>
                </c:pt>
                <c:pt idx="3">
                  <c:v>25871.55</c:v>
                </c:pt>
                <c:pt idx="4">
                  <c:v>28616.300000000003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E-4619-9A67-BC0B26A2A0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16344800"/>
        <c:axId val="1616350080"/>
      </c:barChart>
      <c:catAx>
        <c:axId val="1616344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350080"/>
        <c:crosses val="autoZero"/>
        <c:auto val="1"/>
        <c:lblAlgn val="ctr"/>
        <c:lblOffset val="100"/>
        <c:noMultiLvlLbl val="0"/>
      </c:catAx>
      <c:valAx>
        <c:axId val="161635008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£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34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[Northstar_Excel_Project_1.xlsx]Pivot_Table!PivotTable5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rgbClr val="002060"/>
                </a:solidFill>
              </a:rPr>
              <a:t>Net Sales &amp; Gross Profit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£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£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Pivot_Table!$B$15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&quot;£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Pivot_Table!$A$16:$A$21</c:f>
              <c:strCache>
                <c:ptCount val="5"/>
                <c:pt idx="0">
                  <c:v>Furniture</c:v>
                </c:pt>
                <c:pt idx="1">
                  <c:v>Home Accessories</c:v>
                </c:pt>
                <c:pt idx="2">
                  <c:v>Kitchenware</c:v>
                </c:pt>
                <c:pt idx="3">
                  <c:v>Lighting</c:v>
                </c:pt>
                <c:pt idx="4">
                  <c:v>Storage</c:v>
                </c:pt>
              </c:strCache>
            </c:strRef>
          </c:cat>
          <c:val>
            <c:numRef>
              <c:f>Pivot_Table!$B$16:$B$21</c:f>
              <c:numCache>
                <c:formatCode>0.00</c:formatCode>
                <c:ptCount val="5"/>
                <c:pt idx="0">
                  <c:v>57384.75</c:v>
                </c:pt>
                <c:pt idx="1">
                  <c:v>23189.399999999998</c:v>
                </c:pt>
                <c:pt idx="2">
                  <c:v>16850.5</c:v>
                </c:pt>
                <c:pt idx="3">
                  <c:v>12222.749999999998</c:v>
                </c:pt>
                <c:pt idx="4">
                  <c:v>11759.249999999998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A-48E3-94D6-909D45B84247}"/>
            </c:ext>
          </c:extLst>
        </c:ser>
        <c:ser>
          <c:idx val="1"/>
          <c:order val="1"/>
          <c:tx>
            <c:strRef>
              <c:f>Pivot_Table!$C$15</c:f>
              <c:strCache>
                <c:ptCount val="1"/>
                <c:pt idx="0">
                  <c:v>Sum of Gross_profit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&quot;£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Pivot_Table!$A$16:$A$21</c:f>
              <c:strCache>
                <c:ptCount val="5"/>
                <c:pt idx="0">
                  <c:v>Furniture</c:v>
                </c:pt>
                <c:pt idx="1">
                  <c:v>Home Accessories</c:v>
                </c:pt>
                <c:pt idx="2">
                  <c:v>Kitchenware</c:v>
                </c:pt>
                <c:pt idx="3">
                  <c:v>Lighting</c:v>
                </c:pt>
                <c:pt idx="4">
                  <c:v>Storage</c:v>
                </c:pt>
              </c:strCache>
            </c:strRef>
          </c:cat>
          <c:val>
            <c:numRef>
              <c:f>Pivot_Table!$C$16:$C$21</c:f>
              <c:numCache>
                <c:formatCode>0.00</c:formatCode>
                <c:ptCount val="5"/>
                <c:pt idx="0">
                  <c:v>17888.75</c:v>
                </c:pt>
                <c:pt idx="1">
                  <c:v>9274.4</c:v>
                </c:pt>
                <c:pt idx="2">
                  <c:v>6227.5</c:v>
                </c:pt>
                <c:pt idx="3">
                  <c:v>4703.7500000000009</c:v>
                </c:pt>
                <c:pt idx="4">
                  <c:v>4367.25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A-48E3-94D6-909D45B84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2944047"/>
        <c:axId val="1705115375"/>
      </c:barChart>
      <c:catAx>
        <c:axId val="17229440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15375"/>
        <c:crosses val="autoZero"/>
        <c:auto val="1"/>
        <c:lblAlgn val="ctr"/>
        <c:lblOffset val="100"/>
        <c:noMultiLvlLbl val="0"/>
      </c:catAx>
      <c:valAx>
        <c:axId val="1705115375"/>
        <c:scaling>
          <c:orientation val="minMax"/>
        </c:scaling>
        <c:delete val="0"/>
        <c:axPos val="l"/>
        <c:numFmt formatCode="&quot;£&quot;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94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rgbClr val="002060"/>
                </a:solidFill>
              </a:rPr>
              <a:t>Discount Rates vs Gross Profit</a:t>
            </a:r>
            <a:r>
              <a:rPr lang="en-GB" b="1" baseline="0">
                <a:solidFill>
                  <a:srgbClr val="002060"/>
                </a:solidFill>
              </a:rPr>
              <a:t> Margin</a:t>
            </a:r>
            <a:endParaRPr lang="en-GB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Discount_Analysis!$C$12</c:f>
              <c:strCache>
                <c:ptCount val="1"/>
                <c:pt idx="0">
                  <c:v>Discount Rate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Discount_Analysis!$B$13:$B$17</c:f>
              <c:strCache>
                <c:ptCount val="5"/>
                <c:pt idx="0">
                  <c:v>Furniture</c:v>
                </c:pt>
                <c:pt idx="1">
                  <c:v>Home Accessories</c:v>
                </c:pt>
                <c:pt idx="2">
                  <c:v>Kitchenware</c:v>
                </c:pt>
                <c:pt idx="3">
                  <c:v>Lighting</c:v>
                </c:pt>
                <c:pt idx="4">
                  <c:v>Storage</c:v>
                </c:pt>
              </c:strCache>
            </c:strRef>
          </c:cat>
          <c:val>
            <c:numRef>
              <c:f>Discount_Analysis!$C$13:$C$17</c:f>
              <c:numCache>
                <c:formatCode>0.00%</c:formatCode>
                <c:ptCount val="5"/>
                <c:pt idx="0">
                  <c:v>6.6914634146341467E-2</c:v>
                </c:pt>
                <c:pt idx="1">
                  <c:v>6.8661392023776066E-2</c:v>
                </c:pt>
                <c:pt idx="2">
                  <c:v>8.1866724786138503E-2</c:v>
                </c:pt>
                <c:pt idx="3">
                  <c:v>9.6351471240573708E-2</c:v>
                </c:pt>
                <c:pt idx="4">
                  <c:v>0.10772820396084679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8-497E-A613-9B860D4C944A}"/>
            </c:ext>
          </c:extLst>
        </c:ser>
        <c:ser>
          <c:idx val="1"/>
          <c:order val="1"/>
          <c:tx>
            <c:strRef>
              <c:f>Discount_Analysis!$D$12</c:f>
              <c:strCache>
                <c:ptCount val="1"/>
                <c:pt idx="0">
                  <c:v>Gross Profit Margin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Discount_Analysis!$B$13:$B$17</c:f>
              <c:strCache>
                <c:ptCount val="5"/>
                <c:pt idx="0">
                  <c:v>Furniture</c:v>
                </c:pt>
                <c:pt idx="1">
                  <c:v>Home Accessories</c:v>
                </c:pt>
                <c:pt idx="2">
                  <c:v>Kitchenware</c:v>
                </c:pt>
                <c:pt idx="3">
                  <c:v>Lighting</c:v>
                </c:pt>
                <c:pt idx="4">
                  <c:v>Storage</c:v>
                </c:pt>
              </c:strCache>
            </c:strRef>
          </c:cat>
          <c:val>
            <c:numRef>
              <c:f>Discount_Analysis!$D$13:$D$17</c:f>
              <c:numCache>
                <c:formatCode>0.00%</c:formatCode>
                <c:ptCount val="5"/>
                <c:pt idx="0">
                  <c:v>0.31173351805139865</c:v>
                </c:pt>
                <c:pt idx="1">
                  <c:v>0.39994135251451096</c:v>
                </c:pt>
                <c:pt idx="2">
                  <c:v>0.36957360315717636</c:v>
                </c:pt>
                <c:pt idx="3">
                  <c:v>0.38483565482399634</c:v>
                </c:pt>
                <c:pt idx="4">
                  <c:v>0.37138848140825315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68-497E-A613-9B860D4C9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340927"/>
        <c:axId val="41358831"/>
      </c:barChart>
      <c:catAx>
        <c:axId val="6034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58831"/>
        <c:crosses val="autoZero"/>
        <c:auto val="1"/>
        <c:lblAlgn val="ctr"/>
        <c:lblOffset val="100"/>
        <c:noMultiLvlLbl val="0"/>
      </c:catAx>
      <c:valAx>
        <c:axId val="41358831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4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942974</xdr:colOff>
      <xdr:row>10</xdr:row>
      <xdr:rowOff>104774</xdr:rowOff>
    </xdr:from>
    <xdr:to>
      <xdr:col>14</xdr:col>
      <xdr:colOff>933449</xdr:colOff>
      <xdr:row>26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EC3A88-D849-4E63-80D5-A7DC464B7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57149</xdr:rowOff>
    </xdr:from>
    <xdr:to>
      <xdr:col>7</xdr:col>
      <xdr:colOff>923926</xdr:colOff>
      <xdr:row>44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0CEB3E-039E-44B5-BF7C-1DF58F3F5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531607</xdr:colOff>
      <xdr:row>28</xdr:row>
      <xdr:rowOff>12700</xdr:rowOff>
    </xdr:from>
    <xdr:to>
      <xdr:col>15</xdr:col>
      <xdr:colOff>4506</xdr:colOff>
      <xdr:row>44</xdr:row>
      <xdr:rowOff>87261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FEB6EB-F2F4-4C19-9E07-B0241F3CF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210984</xdr:colOff>
      <xdr:row>46</xdr:row>
      <xdr:rowOff>30856</xdr:rowOff>
    </xdr:from>
    <xdr:to>
      <xdr:col>12</xdr:col>
      <xdr:colOff>342900</xdr:colOff>
      <xdr:row>68</xdr:row>
      <xdr:rowOff>119061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760229-53A5-4C2B-959C-CB59536C6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ebisi Olatunji-Legend" refreshedDate="46322.40679976852" createdVersion="8" refreshedVersion="8" minRefreshableVersion="3" recordCount="320" xr:uid="{5574B890-28D8-48FC-B8E8-8B405A6A7F05}">
  <cacheSource type="worksheet">
    <worksheetSource name="Sales_Data"/>
  </cacheSource>
  <cacheFields count="21">
    <cacheField name="Order_ID" numFmtId="0">
      <sharedItems/>
    </cacheField>
    <cacheField name="Order_Date" numFmtId="165">
      <sharedItems containsSemiMixedTypes="0" containsNonDate="0" containsDate="1" containsString="0" minDate="2026-01-01T00:00:00" maxDate="2026-07-01T00:00:00" count="156">
        <d v="2026-04-08T00:00:00"/>
        <d v="2026-03-12T00:00:00"/>
        <d v="2026-01-05T00:00:00"/>
        <d v="2026-06-17T00:00:00"/>
        <d v="2026-03-14T00:00:00"/>
        <d v="2026-06-21T00:00:00"/>
        <d v="2026-03-23T00:00:00"/>
        <d v="2026-02-07T00:00:00"/>
        <d v="2026-02-28T00:00:00"/>
        <d v="2026-03-13T00:00:00"/>
        <d v="2026-01-11T00:00:00"/>
        <d v="2026-02-02T00:00:00"/>
        <d v="2026-06-03T00:00:00"/>
        <d v="2026-04-16T00:00:00"/>
        <d v="2026-04-23T00:00:00"/>
        <d v="2026-06-20T00:00:00"/>
        <d v="2026-02-19T00:00:00"/>
        <d v="2026-01-08T00:00:00"/>
        <d v="2026-02-15T00:00:00"/>
        <d v="2026-04-01T00:00:00"/>
        <d v="2026-03-08T00:00:00"/>
        <d v="2026-05-31T00:00:00"/>
        <d v="2026-05-01T00:00:00"/>
        <d v="2026-05-07T00:00:00"/>
        <d v="2026-05-17T00:00:00"/>
        <d v="2026-05-29T00:00:00"/>
        <d v="2026-01-07T00:00:00"/>
        <d v="2026-05-23T00:00:00"/>
        <d v="2026-04-05T00:00:00"/>
        <d v="2026-03-21T00:00:00"/>
        <d v="2026-04-06T00:00:00"/>
        <d v="2026-04-28T00:00:00"/>
        <d v="2026-03-22T00:00:00"/>
        <d v="2026-02-08T00:00:00"/>
        <d v="2026-06-07T00:00:00"/>
        <d v="2026-03-06T00:00:00"/>
        <d v="2026-02-09T00:00:00"/>
        <d v="2026-01-10T00:00:00"/>
        <d v="2026-06-26T00:00:00"/>
        <d v="2026-01-31T00:00:00"/>
        <d v="2026-05-26T00:00:00"/>
        <d v="2026-06-08T00:00:00"/>
        <d v="2026-02-21T00:00:00"/>
        <d v="2026-02-10T00:00:00"/>
        <d v="2026-03-11T00:00:00"/>
        <d v="2026-06-19T00:00:00"/>
        <d v="2026-02-14T00:00:00"/>
        <d v="2026-01-21T00:00:00"/>
        <d v="2026-01-24T00:00:00"/>
        <d v="2026-02-11T00:00:00"/>
        <d v="2026-02-25T00:00:00"/>
        <d v="2026-03-30T00:00:00"/>
        <d v="2026-03-01T00:00:00"/>
        <d v="2026-03-27T00:00:00"/>
        <d v="2026-01-26T00:00:00"/>
        <d v="2026-04-17T00:00:00"/>
        <d v="2026-04-13T00:00:00"/>
        <d v="2026-05-10T00:00:00"/>
        <d v="2026-04-21T00:00:00"/>
        <d v="2026-04-12T00:00:00"/>
        <d v="2026-02-18T00:00:00"/>
        <d v="2026-02-17T00:00:00"/>
        <d v="2026-03-17T00:00:00"/>
        <d v="2026-05-11T00:00:00"/>
        <d v="2026-03-09T00:00:00"/>
        <d v="2026-02-12T00:00:00"/>
        <d v="2026-06-23T00:00:00"/>
        <d v="2026-02-26T00:00:00"/>
        <d v="2026-06-13T00:00:00"/>
        <d v="2026-01-14T00:00:00"/>
        <d v="2026-06-06T00:00:00"/>
        <d v="2026-06-04T00:00:00"/>
        <d v="2026-04-11T00:00:00"/>
        <d v="2026-02-13T00:00:00"/>
        <d v="2026-05-06T00:00:00"/>
        <d v="2026-05-24T00:00:00"/>
        <d v="2026-06-16T00:00:00"/>
        <d v="2026-06-10T00:00:00"/>
        <d v="2026-05-28T00:00:00"/>
        <d v="2026-02-24T00:00:00"/>
        <d v="2026-01-03T00:00:00"/>
        <d v="2026-06-09T00:00:00"/>
        <d v="2026-02-03T00:00:00"/>
        <d v="2026-04-26T00:00:00"/>
        <d v="2026-01-06T00:00:00"/>
        <d v="2026-06-22T00:00:00"/>
        <d v="2026-04-25T00:00:00"/>
        <d v="2026-04-20T00:00:00"/>
        <d v="2026-03-10T00:00:00"/>
        <d v="2026-01-15T00:00:00"/>
        <d v="2026-04-07T00:00:00"/>
        <d v="2026-04-30T00:00:00"/>
        <d v="2026-01-13T00:00:00"/>
        <d v="2026-06-25T00:00:00"/>
        <d v="2026-03-28T00:00:00"/>
        <d v="2026-06-27T00:00:00"/>
        <d v="2026-04-04T00:00:00"/>
        <d v="2026-06-24T00:00:00"/>
        <d v="2026-01-12T00:00:00"/>
        <d v="2026-01-23T00:00:00"/>
        <d v="2026-03-07T00:00:00"/>
        <d v="2026-03-18T00:00:00"/>
        <d v="2026-02-06T00:00:00"/>
        <d v="2026-01-19T00:00:00"/>
        <d v="2026-06-14T00:00:00"/>
        <d v="2026-03-02T00:00:00"/>
        <d v="2026-05-12T00:00:00"/>
        <d v="2026-01-30T00:00:00"/>
        <d v="2026-02-04T00:00:00"/>
        <d v="2026-01-17T00:00:00"/>
        <d v="2026-04-03T00:00:00"/>
        <d v="2026-01-22T00:00:00"/>
        <d v="2026-01-18T00:00:00"/>
        <d v="2026-05-08T00:00:00"/>
        <d v="2026-02-22T00:00:00"/>
        <d v="2026-05-15T00:00:00"/>
        <d v="2026-01-09T00:00:00"/>
        <d v="2026-02-23T00:00:00"/>
        <d v="2026-06-02T00:00:00"/>
        <d v="2026-04-10T00:00:00"/>
        <d v="2026-05-14T00:00:00"/>
        <d v="2026-01-28T00:00:00"/>
        <d v="2026-03-19T00:00:00"/>
        <d v="2026-04-02T00:00:00"/>
        <d v="2026-03-16T00:00:00"/>
        <d v="2026-05-09T00:00:00"/>
        <d v="2026-01-25T00:00:00"/>
        <d v="2026-05-25T00:00:00"/>
        <d v="2026-05-21T00:00:00"/>
        <d v="2026-03-25T00:00:00"/>
        <d v="2026-04-27T00:00:00"/>
        <d v="2026-04-14T00:00:00"/>
        <d v="2026-05-30T00:00:00"/>
        <d v="2026-01-29T00:00:00"/>
        <d v="2026-05-13T00:00:00"/>
        <d v="2026-05-02T00:00:00"/>
        <d v="2026-01-04T00:00:00"/>
        <d v="2026-03-29T00:00:00"/>
        <d v="2026-04-15T00:00:00"/>
        <d v="2026-05-18T00:00:00"/>
        <d v="2026-04-09T00:00:00"/>
        <d v="2026-05-20T00:00:00"/>
        <d v="2026-05-04T00:00:00"/>
        <d v="2026-06-29T00:00:00"/>
        <d v="2026-01-01T00:00:00"/>
        <d v="2026-03-24T00:00:00"/>
        <d v="2026-03-04T00:00:00"/>
        <d v="2026-05-03T00:00:00"/>
        <d v="2026-03-05T00:00:00"/>
        <d v="2026-04-18T00:00:00"/>
        <d v="2026-06-12T00:00:00"/>
        <d v="2026-05-27T00:00:00"/>
        <d v="2026-02-16T00:00:00"/>
        <d v="2026-02-05T00:00:00"/>
        <d v="2026-06-30T00:00:00"/>
        <d v="2026-03-03T00:00:00"/>
      </sharedItems>
      <fieldGroup par="20"/>
    </cacheField>
    <cacheField name="Region" numFmtId="0">
      <sharedItems count="6">
        <s v="London"/>
        <s v="South East"/>
        <s v="West Midlands"/>
        <s v="North West"/>
        <s v="Yorkshire"/>
        <s v="Unknown"/>
      </sharedItems>
    </cacheField>
    <cacheField name="Sales_Channel" numFmtId="0">
      <sharedItems/>
    </cacheField>
    <cacheField name="Product_ID" numFmtId="0">
      <sharedItems/>
    </cacheField>
    <cacheField name="Product_Name" numFmtId="0">
      <sharedItems/>
    </cacheField>
    <cacheField name="Product_Category" numFmtId="0">
      <sharedItems count="5">
        <s v="Furniture"/>
        <s v="Storage"/>
        <s v="Lighting"/>
        <s v="Kitchenware"/>
        <s v="Home Accessories"/>
      </sharedItems>
    </cacheField>
    <cacheField name="Unit_Price" numFmtId="0">
      <sharedItems containsSemiMixedTypes="0" containsString="0" containsNumber="1" containsInteger="1" minValue="26" maxValue="420"/>
    </cacheField>
    <cacheField name="Quantity" numFmtId="0">
      <sharedItems containsSemiMixedTypes="0" containsString="0" containsNumber="1" containsInteger="1" minValue="1" maxValue="7"/>
    </cacheField>
    <cacheField name="Gross_Sales" numFmtId="0">
      <sharedItems containsSemiMixedTypes="0" containsString="0" containsNumber="1" containsInteger="1" minValue="26" maxValue="2940"/>
    </cacheField>
    <cacheField name="Discount_Pct" numFmtId="9">
      <sharedItems containsString="0" containsBlank="1" containsNumber="1" minValue="0" maxValue="0.25"/>
    </cacheField>
    <cacheField name="Discount_Amt" numFmtId="2">
      <sharedItems containsSemiMixedTypes="0" containsString="0" containsNumber="1" minValue="0" maxValue="294"/>
    </cacheField>
    <cacheField name="Net_Sales" numFmtId="2">
      <sharedItems containsSemiMixedTypes="0" containsString="0" containsNumber="1" minValue="20.8" maxValue="2940"/>
    </cacheField>
    <cacheField name="Unit_Cost" numFmtId="2">
      <sharedItems containsSemiMixedTypes="0" containsString="0" containsNumber="1" containsInteger="1" minValue="11" maxValue="280"/>
    </cacheField>
    <cacheField name="Total_Cost" numFmtId="2">
      <sharedItems containsSemiMixedTypes="0" containsString="0" containsNumber="1" containsInteger="1" minValue="11" maxValue="1960"/>
    </cacheField>
    <cacheField name="Gross_profit" numFmtId="2">
      <sharedItems containsSemiMixedTypes="0" containsString="0" containsNumber="1" minValue="9.3999999999999986" maxValue="980"/>
    </cacheField>
    <cacheField name="Gross_Pft_Mgn(%)" numFmtId="10">
      <sharedItems containsSemiMixedTypes="0" containsString="0" containsNumber="1" minValue="0.16190476190476191" maxValue="0.57692307692307687"/>
    </cacheField>
    <cacheField name="Order_Status" numFmtId="0">
      <sharedItems count="3">
        <s v="Completed"/>
        <s v="Cancelled"/>
        <s v="Returned"/>
      </sharedItems>
    </cacheField>
    <cacheField name="Sales_Rep" numFmtId="0">
      <sharedItems/>
    </cacheField>
    <cacheField name="Days (Order_Date)" numFmtId="0" databaseField="0">
      <fieldGroup base="1">
        <rangePr groupBy="days" startDate="2026-01-01T00:00:00" endDate="2026-07-01T00:00:00"/>
        <groupItems count="368">
          <s v="&lt;01/01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7/2026"/>
        </groupItems>
      </fieldGroup>
    </cacheField>
    <cacheField name="Months (Order_Date)" numFmtId="0" databaseField="0">
      <fieldGroup base="1">
        <rangePr groupBy="months" startDate="2026-01-01T00:00:00" endDate="2026-07-01T00:00:00"/>
        <groupItems count="14">
          <s v="&lt;01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NS-0001"/>
    <x v="0"/>
    <x v="0"/>
    <s v="Corporate"/>
    <s v="P103"/>
    <s v="Desk"/>
    <x v="0"/>
    <n v="210"/>
    <n v="3"/>
    <n v="630"/>
    <n v="0.2"/>
    <n v="126"/>
    <n v="504"/>
    <n v="132"/>
    <n v="396"/>
    <n v="108"/>
    <n v="0.21428571428571427"/>
    <x v="0"/>
    <s v="Priya"/>
  </r>
  <r>
    <s v="NS-0002"/>
    <x v="1"/>
    <x v="0"/>
    <s v="Online"/>
    <s v="P501"/>
    <s v="Storage Box"/>
    <x v="1"/>
    <n v="26"/>
    <n v="6"/>
    <n v="156"/>
    <n v="0.15"/>
    <n v="23.4"/>
    <n v="132.6"/>
    <n v="11"/>
    <n v="66"/>
    <n v="66.599999999999994"/>
    <n v="0.50226244343891402"/>
    <x v="0"/>
    <s v="Zara"/>
  </r>
  <r>
    <s v="NS-0003"/>
    <x v="2"/>
    <x v="0"/>
    <s v="In-Store"/>
    <s v="P103"/>
    <s v="Desk"/>
    <x v="0"/>
    <n v="210"/>
    <n v="2"/>
    <n v="420"/>
    <n v="0.25"/>
    <n v="105"/>
    <n v="315"/>
    <n v="132"/>
    <n v="264"/>
    <n v="51"/>
    <n v="0.16190476190476191"/>
    <x v="1"/>
    <s v="Grace"/>
  </r>
  <r>
    <s v="NS-0004"/>
    <x v="3"/>
    <x v="1"/>
    <s v="Online"/>
    <s v="P401"/>
    <s v="Table Lamp"/>
    <x v="2"/>
    <n v="62"/>
    <n v="4"/>
    <n v="248"/>
    <n v="0"/>
    <n v="0"/>
    <n v="248"/>
    <n v="31"/>
    <n v="124"/>
    <n v="124"/>
    <n v="0.5"/>
    <x v="0"/>
    <s v="Zara"/>
  </r>
  <r>
    <s v="NS-0005"/>
    <x v="4"/>
    <x v="1"/>
    <s v="In-Store"/>
    <s v="P201"/>
    <s v="Kettle"/>
    <x v="3"/>
    <n v="38"/>
    <n v="2"/>
    <n v="76"/>
    <n v="0"/>
    <n v="0"/>
    <n v="76"/>
    <n v="21"/>
    <n v="42"/>
    <n v="34"/>
    <n v="0.44736842105263158"/>
    <x v="0"/>
    <s v="Priya"/>
  </r>
  <r>
    <s v="NS-0006"/>
    <x v="5"/>
    <x v="2"/>
    <s v="Online"/>
    <s v="P102"/>
    <s v="Dining Chair"/>
    <x v="0"/>
    <n v="95"/>
    <n v="1"/>
    <n v="95"/>
    <n v="0.2"/>
    <n v="19"/>
    <n v="76"/>
    <n v="54"/>
    <n v="54"/>
    <n v="22"/>
    <n v="0.28947368421052633"/>
    <x v="0"/>
    <s v="Grace"/>
  </r>
  <r>
    <s v="NS-0007"/>
    <x v="6"/>
    <x v="2"/>
    <s v="Online"/>
    <s v="P101"/>
    <s v="Sofa"/>
    <x v="0"/>
    <n v="420"/>
    <n v="3"/>
    <n v="1260"/>
    <n v="0.1"/>
    <n v="126"/>
    <n v="1134"/>
    <n v="280"/>
    <n v="840"/>
    <n v="294"/>
    <n v="0.25925925925925924"/>
    <x v="0"/>
    <s v="Lewis"/>
  </r>
  <r>
    <s v="NS-0008"/>
    <x v="7"/>
    <x v="2"/>
    <s v="In-Store"/>
    <s v="P102"/>
    <s v="Dining Chair"/>
    <x v="0"/>
    <n v="95"/>
    <n v="7"/>
    <n v="665"/>
    <n v="0.05"/>
    <n v="33.25"/>
    <n v="631.75"/>
    <n v="54"/>
    <n v="378"/>
    <n v="253.75"/>
    <n v="0.40166204986149584"/>
    <x v="0"/>
    <s v="Lewis"/>
  </r>
  <r>
    <s v="NS-0009"/>
    <x v="8"/>
    <x v="2"/>
    <s v="In-Store"/>
    <s v="P103"/>
    <s v="Desk"/>
    <x v="0"/>
    <n v="210"/>
    <n v="4"/>
    <n v="840"/>
    <n v="0"/>
    <n v="0"/>
    <n v="840"/>
    <n v="132"/>
    <n v="528"/>
    <n v="312"/>
    <n v="0.37142857142857144"/>
    <x v="2"/>
    <s v="Priya"/>
  </r>
  <r>
    <s v="NS-0010"/>
    <x v="9"/>
    <x v="3"/>
    <s v="Online"/>
    <s v="P101"/>
    <s v="Sofa"/>
    <x v="0"/>
    <n v="420"/>
    <n v="7"/>
    <n v="2940"/>
    <n v="0.1"/>
    <n v="294"/>
    <n v="2646"/>
    <n v="280"/>
    <n v="1960"/>
    <n v="686"/>
    <n v="0.25925925925925924"/>
    <x v="0"/>
    <s v="Amira"/>
  </r>
  <r>
    <s v="NS-0011"/>
    <x v="10"/>
    <x v="1"/>
    <s v="Online"/>
    <s v="P402"/>
    <s v="Floor Lamp"/>
    <x v="2"/>
    <n v="125"/>
    <n v="6"/>
    <n v="750"/>
    <n v="0.15"/>
    <n v="112.5"/>
    <n v="637.5"/>
    <n v="73"/>
    <n v="438"/>
    <n v="199.5"/>
    <n v="0.31294117647058822"/>
    <x v="0"/>
    <s v="Tom"/>
  </r>
  <r>
    <s v="NS-0012"/>
    <x v="11"/>
    <x v="4"/>
    <s v="Corporate"/>
    <s v="P301"/>
    <s v="Cushion Set"/>
    <x v="4"/>
    <n v="32"/>
    <n v="5"/>
    <n v="160"/>
    <n v="0.1"/>
    <n v="16"/>
    <n v="144"/>
    <n v="14"/>
    <n v="70"/>
    <n v="74"/>
    <n v="0.51388888888888884"/>
    <x v="0"/>
    <s v="Lewis"/>
  </r>
  <r>
    <s v="NS-0013"/>
    <x v="12"/>
    <x v="1"/>
    <s v="In-Store"/>
    <s v="P201"/>
    <s v="Kettle"/>
    <x v="3"/>
    <n v="38"/>
    <n v="6"/>
    <n v="228"/>
    <n v="0"/>
    <n v="0"/>
    <n v="228"/>
    <n v="21"/>
    <n v="126"/>
    <n v="102"/>
    <n v="0.44736842105263158"/>
    <x v="0"/>
    <s v="Tom"/>
  </r>
  <r>
    <s v="NS-0014"/>
    <x v="13"/>
    <x v="1"/>
    <s v="Online"/>
    <s v="P102"/>
    <s v="Dining Chair"/>
    <x v="0"/>
    <n v="95"/>
    <n v="6"/>
    <n v="570"/>
    <n v="0.25"/>
    <n v="142.5"/>
    <n v="427.5"/>
    <n v="54"/>
    <n v="324"/>
    <n v="103.5"/>
    <n v="0.24210526315789474"/>
    <x v="0"/>
    <s v="Daniel"/>
  </r>
  <r>
    <s v="NS-0015"/>
    <x v="1"/>
    <x v="0"/>
    <s v="In-Store"/>
    <s v="P501"/>
    <s v="Storage Box"/>
    <x v="1"/>
    <n v="26"/>
    <n v="7"/>
    <n v="182"/>
    <n v="0"/>
    <n v="0"/>
    <n v="182"/>
    <n v="11"/>
    <n v="77"/>
    <n v="105"/>
    <n v="0.57692307692307687"/>
    <x v="2"/>
    <s v="Grace"/>
  </r>
  <r>
    <s v="NS-0016"/>
    <x v="14"/>
    <x v="1"/>
    <s v="Online"/>
    <s v="P201"/>
    <s v="Kettle"/>
    <x v="3"/>
    <n v="38"/>
    <n v="2"/>
    <n v="76"/>
    <n v="0.05"/>
    <n v="3.8000000000000003"/>
    <n v="72.2"/>
    <n v="21"/>
    <n v="42"/>
    <n v="30.200000000000003"/>
    <n v="0.4182825484764543"/>
    <x v="0"/>
    <s v="Lewis"/>
  </r>
  <r>
    <s v="NS-0017"/>
    <x v="15"/>
    <x v="2"/>
    <s v="In-Store"/>
    <s v="P201"/>
    <s v="Kettle"/>
    <x v="3"/>
    <n v="38"/>
    <n v="3"/>
    <n v="114"/>
    <n v="0.05"/>
    <n v="5.7"/>
    <n v="108.3"/>
    <n v="21"/>
    <n v="63"/>
    <n v="45.3"/>
    <n v="0.4182825484764543"/>
    <x v="0"/>
    <s v="Amira"/>
  </r>
  <r>
    <s v="NS-0018"/>
    <x v="8"/>
    <x v="0"/>
    <s v="Corporate"/>
    <s v="P501"/>
    <s v="Storage Box"/>
    <x v="1"/>
    <n v="26"/>
    <n v="6"/>
    <n v="156"/>
    <n v="0"/>
    <n v="0"/>
    <n v="156"/>
    <n v="11"/>
    <n v="66"/>
    <n v="90"/>
    <n v="0.57692307692307687"/>
    <x v="1"/>
    <s v="Tom"/>
  </r>
  <r>
    <s v="NS-0019"/>
    <x v="16"/>
    <x v="3"/>
    <s v="In-Store"/>
    <s v="P302"/>
    <s v="Wall Mirror"/>
    <x v="4"/>
    <n v="85"/>
    <n v="7"/>
    <n v="595"/>
    <n v="0.05"/>
    <n v="29.75"/>
    <n v="565.25"/>
    <n v="41"/>
    <n v="287"/>
    <n v="278.25"/>
    <n v="0.49226006191950467"/>
    <x v="0"/>
    <s v="Grace"/>
  </r>
  <r>
    <s v="NS-0020"/>
    <x v="17"/>
    <x v="2"/>
    <s v="Corporate"/>
    <s v="P501"/>
    <s v="Storage Box"/>
    <x v="1"/>
    <n v="26"/>
    <n v="5"/>
    <n v="130"/>
    <n v="0.2"/>
    <n v="26"/>
    <n v="104"/>
    <n v="11"/>
    <n v="55"/>
    <n v="49"/>
    <n v="0.47115384615384615"/>
    <x v="0"/>
    <s v="Tom"/>
  </r>
  <r>
    <s v="NS-0021"/>
    <x v="18"/>
    <x v="0"/>
    <s v="Corporate"/>
    <s v="P502"/>
    <s v="Shelving Unit"/>
    <x v="1"/>
    <n v="115"/>
    <n v="5"/>
    <n v="575"/>
    <n v="0.25"/>
    <n v="143.75"/>
    <n v="431.25"/>
    <n v="67"/>
    <n v="335"/>
    <n v="96.25"/>
    <n v="0.22318840579710145"/>
    <x v="0"/>
    <s v="Tom"/>
  </r>
  <r>
    <s v="NS-0022"/>
    <x v="19"/>
    <x v="2"/>
    <s v="In-Store"/>
    <s v="P301"/>
    <s v="Cushion Set"/>
    <x v="4"/>
    <n v="32"/>
    <n v="3"/>
    <n v="96"/>
    <n v="0.2"/>
    <n v="19.200000000000003"/>
    <n v="76.8"/>
    <n v="14"/>
    <n v="42"/>
    <n v="34.799999999999997"/>
    <n v="0.453125"/>
    <x v="2"/>
    <s v="Daniel"/>
  </r>
  <r>
    <s v="NS-0023"/>
    <x v="20"/>
    <x v="1"/>
    <s v="Corporate"/>
    <s v="P401"/>
    <s v="Table Lamp"/>
    <x v="2"/>
    <n v="62"/>
    <n v="3"/>
    <n v="186"/>
    <n v="0"/>
    <n v="0"/>
    <n v="186"/>
    <n v="31"/>
    <n v="93"/>
    <n v="93"/>
    <n v="0.5"/>
    <x v="0"/>
    <s v="Priya"/>
  </r>
  <r>
    <s v="NS-0024"/>
    <x v="21"/>
    <x v="0"/>
    <s v="Online"/>
    <s v="P301"/>
    <s v="Cushion Set"/>
    <x v="4"/>
    <n v="32"/>
    <n v="1"/>
    <n v="32"/>
    <n v="0.15"/>
    <n v="4.8"/>
    <n v="27.2"/>
    <n v="14"/>
    <n v="14"/>
    <n v="13.2"/>
    <n v="0.48529411764705882"/>
    <x v="0"/>
    <s v="Priya"/>
  </r>
  <r>
    <s v="NS-0025"/>
    <x v="22"/>
    <x v="2"/>
    <s v="In-Store"/>
    <s v="P201"/>
    <s v="Kettle"/>
    <x v="3"/>
    <n v="38"/>
    <n v="1"/>
    <n v="38"/>
    <n v="0.05"/>
    <n v="1.9000000000000001"/>
    <n v="36.1"/>
    <n v="21"/>
    <n v="21"/>
    <n v="15.100000000000001"/>
    <n v="0.4182825484764543"/>
    <x v="2"/>
    <s v="Daniel"/>
  </r>
  <r>
    <s v="NS-0026"/>
    <x v="23"/>
    <x v="0"/>
    <s v="Corporate"/>
    <s v="P401"/>
    <s v="Table Lamp"/>
    <x v="2"/>
    <n v="62"/>
    <n v="7"/>
    <n v="434"/>
    <n v="0.15"/>
    <n v="65.099999999999994"/>
    <n v="368.9"/>
    <n v="31"/>
    <n v="217"/>
    <n v="151.89999999999998"/>
    <n v="0.41176470588235292"/>
    <x v="0"/>
    <s v="Tom"/>
  </r>
  <r>
    <s v="NS-0027"/>
    <x v="24"/>
    <x v="2"/>
    <s v="In-Store"/>
    <s v="P502"/>
    <s v="Shelving Unit"/>
    <x v="1"/>
    <n v="115"/>
    <n v="3"/>
    <n v="345"/>
    <n v="0.1"/>
    <n v="34.5"/>
    <n v="310.5"/>
    <n v="67"/>
    <n v="201"/>
    <n v="109.5"/>
    <n v="0.35265700483091789"/>
    <x v="0"/>
    <s v="Grace"/>
  </r>
  <r>
    <s v="NS-0028"/>
    <x v="25"/>
    <x v="2"/>
    <s v="Corporate"/>
    <s v="P101"/>
    <s v="Sofa"/>
    <x v="0"/>
    <n v="420"/>
    <n v="4"/>
    <n v="1680"/>
    <n v="0"/>
    <n v="0"/>
    <n v="1680"/>
    <n v="280"/>
    <n v="1120"/>
    <n v="560"/>
    <n v="0.33333333333333331"/>
    <x v="0"/>
    <s v="Daniel"/>
  </r>
  <r>
    <s v="NS-0029"/>
    <x v="26"/>
    <x v="3"/>
    <s v="In-Store"/>
    <s v="P303"/>
    <s v="Rug"/>
    <x v="4"/>
    <n v="145"/>
    <n v="5"/>
    <n v="725"/>
    <n v="0.05"/>
    <n v="36.25"/>
    <n v="688.75"/>
    <n v="88"/>
    <n v="440"/>
    <n v="248.75"/>
    <n v="0.36116152450090744"/>
    <x v="0"/>
    <s v="Amira"/>
  </r>
  <r>
    <s v="NS-0030"/>
    <x v="27"/>
    <x v="1"/>
    <s v="Online"/>
    <s v="P501"/>
    <s v="Storage Box"/>
    <x v="1"/>
    <n v="26"/>
    <n v="5"/>
    <n v="130"/>
    <n v="0"/>
    <n v="0"/>
    <n v="130"/>
    <n v="11"/>
    <n v="55"/>
    <n v="75"/>
    <n v="0.57692307692307687"/>
    <x v="0"/>
    <s v="Grace"/>
  </r>
  <r>
    <s v="NS-0031"/>
    <x v="21"/>
    <x v="3"/>
    <s v="Corporate"/>
    <s v="P103"/>
    <s v="Desk"/>
    <x v="0"/>
    <n v="210"/>
    <n v="1"/>
    <n v="210"/>
    <n v="0.05"/>
    <n v="10.5"/>
    <n v="199.5"/>
    <n v="132"/>
    <n v="132"/>
    <n v="67.5"/>
    <n v="0.33834586466165412"/>
    <x v="0"/>
    <s v="Daniel"/>
  </r>
  <r>
    <s v="NS-0032"/>
    <x v="28"/>
    <x v="2"/>
    <s v="In-Store"/>
    <s v="P302"/>
    <s v="Wall Mirror"/>
    <x v="4"/>
    <n v="85"/>
    <n v="1"/>
    <n v="85"/>
    <n v="0"/>
    <n v="0"/>
    <n v="85"/>
    <n v="41"/>
    <n v="41"/>
    <n v="44"/>
    <n v="0.51764705882352946"/>
    <x v="0"/>
    <s v="Tom"/>
  </r>
  <r>
    <s v="NS-0033"/>
    <x v="29"/>
    <x v="2"/>
    <s v="In-Store"/>
    <s v="P301"/>
    <s v="Cushion Set"/>
    <x v="4"/>
    <n v="32"/>
    <n v="6"/>
    <n v="192"/>
    <n v="0.15"/>
    <n v="28.799999999999997"/>
    <n v="163.19999999999999"/>
    <n v="14"/>
    <n v="84"/>
    <n v="79.199999999999989"/>
    <n v="0.48529411764705876"/>
    <x v="0"/>
    <s v="Lewis"/>
  </r>
  <r>
    <s v="NS-0034"/>
    <x v="30"/>
    <x v="3"/>
    <s v="In-Store"/>
    <s v="P103"/>
    <s v="Desk"/>
    <x v="0"/>
    <n v="210"/>
    <n v="2"/>
    <n v="420"/>
    <n v="0"/>
    <n v="0"/>
    <n v="420"/>
    <n v="132"/>
    <n v="264"/>
    <n v="156"/>
    <n v="0.37142857142857144"/>
    <x v="0"/>
    <s v="Zara"/>
  </r>
  <r>
    <s v="NS-0035"/>
    <x v="31"/>
    <x v="2"/>
    <s v="Online"/>
    <s v="P103"/>
    <s v="Desk"/>
    <x v="0"/>
    <n v="210"/>
    <n v="3"/>
    <n v="630"/>
    <n v="0.2"/>
    <n v="126"/>
    <n v="504"/>
    <n v="132"/>
    <n v="396"/>
    <n v="108"/>
    <n v="0.21428571428571427"/>
    <x v="0"/>
    <s v="Grace"/>
  </r>
  <r>
    <s v="NS-0036"/>
    <x v="32"/>
    <x v="0"/>
    <s v="Corporate"/>
    <s v="P101"/>
    <s v="Sofa"/>
    <x v="0"/>
    <n v="420"/>
    <n v="1"/>
    <n v="420"/>
    <n v="0"/>
    <n v="0"/>
    <n v="420"/>
    <n v="280"/>
    <n v="280"/>
    <n v="140"/>
    <n v="0.33333333333333331"/>
    <x v="2"/>
    <s v="Amira"/>
  </r>
  <r>
    <s v="NS-0037"/>
    <x v="33"/>
    <x v="4"/>
    <s v="In-Store"/>
    <s v="P202"/>
    <s v="Cookware Set"/>
    <x v="3"/>
    <n v="110"/>
    <n v="3"/>
    <n v="330"/>
    <n v="0.05"/>
    <n v="16.5"/>
    <n v="313.5"/>
    <n v="65"/>
    <n v="195"/>
    <n v="118.5"/>
    <n v="0.37799043062200954"/>
    <x v="2"/>
    <s v="Daniel"/>
  </r>
  <r>
    <s v="NS-0038"/>
    <x v="22"/>
    <x v="1"/>
    <s v="In-Store"/>
    <s v="P502"/>
    <s v="Shelving Unit"/>
    <x v="1"/>
    <n v="115"/>
    <n v="6"/>
    <n v="690"/>
    <n v="0.2"/>
    <n v="138"/>
    <n v="552"/>
    <n v="67"/>
    <n v="402"/>
    <n v="150"/>
    <n v="0.27173913043478259"/>
    <x v="0"/>
    <s v="Tom"/>
  </r>
  <r>
    <s v="NS-0039"/>
    <x v="34"/>
    <x v="3"/>
    <s v="Online"/>
    <s v="P202"/>
    <s v="Cookware Set"/>
    <x v="3"/>
    <n v="110"/>
    <n v="7"/>
    <n v="770"/>
    <n v="0.1"/>
    <n v="77"/>
    <n v="693"/>
    <n v="65"/>
    <n v="455"/>
    <n v="238"/>
    <n v="0.34343434343434343"/>
    <x v="0"/>
    <s v="Zara"/>
  </r>
  <r>
    <s v="NS-0040"/>
    <x v="26"/>
    <x v="1"/>
    <s v="In-Store"/>
    <s v="P303"/>
    <s v="Rug"/>
    <x v="4"/>
    <n v="145"/>
    <n v="3"/>
    <n v="435"/>
    <n v="0"/>
    <n v="0"/>
    <n v="435"/>
    <n v="88"/>
    <n v="264"/>
    <n v="171"/>
    <n v="0.39310344827586208"/>
    <x v="0"/>
    <s v="Grace"/>
  </r>
  <r>
    <s v="NS-0041"/>
    <x v="35"/>
    <x v="4"/>
    <s v="In-Store"/>
    <s v="P202"/>
    <s v="Cookware Set"/>
    <x v="3"/>
    <n v="110"/>
    <n v="5"/>
    <n v="550"/>
    <n v="0"/>
    <n v="0"/>
    <n v="550"/>
    <n v="65"/>
    <n v="325"/>
    <n v="225"/>
    <n v="0.40909090909090912"/>
    <x v="0"/>
    <s v="Grace"/>
  </r>
  <r>
    <s v="NS-0042"/>
    <x v="36"/>
    <x v="0"/>
    <s v="In-Store"/>
    <s v="P303"/>
    <s v="Rug"/>
    <x v="4"/>
    <n v="145"/>
    <n v="6"/>
    <n v="870"/>
    <n v="0.05"/>
    <n v="43.5"/>
    <n v="826.5"/>
    <n v="88"/>
    <n v="528"/>
    <n v="298.5"/>
    <n v="0.36116152450090744"/>
    <x v="0"/>
    <s v="Daniel"/>
  </r>
  <r>
    <s v="NS-0043"/>
    <x v="30"/>
    <x v="4"/>
    <s v="In-Store"/>
    <s v="P301"/>
    <s v="Cushion Set"/>
    <x v="4"/>
    <n v="32"/>
    <n v="6"/>
    <n v="192"/>
    <n v="0.1"/>
    <n v="19.200000000000003"/>
    <n v="172.8"/>
    <n v="14"/>
    <n v="84"/>
    <n v="88.800000000000011"/>
    <n v="0.51388888888888895"/>
    <x v="0"/>
    <s v="Daniel"/>
  </r>
  <r>
    <s v="NS-0044"/>
    <x v="37"/>
    <x v="1"/>
    <s v="Online"/>
    <s v="P101"/>
    <s v="Sofa"/>
    <x v="0"/>
    <n v="420"/>
    <n v="4"/>
    <n v="1680"/>
    <n v="0"/>
    <n v="0"/>
    <n v="1680"/>
    <n v="280"/>
    <n v="1120"/>
    <n v="560"/>
    <n v="0.33333333333333331"/>
    <x v="0"/>
    <s v="Lewis"/>
  </r>
  <r>
    <s v="NS-0045"/>
    <x v="38"/>
    <x v="2"/>
    <s v="Corporate"/>
    <s v="P401"/>
    <s v="Table Lamp"/>
    <x v="2"/>
    <n v="62"/>
    <n v="1"/>
    <n v="62"/>
    <n v="0.1"/>
    <n v="6.2"/>
    <n v="55.8"/>
    <n v="31"/>
    <n v="31"/>
    <n v="24.799999999999997"/>
    <n v="0.44444444444444442"/>
    <x v="0"/>
    <s v="Zara"/>
  </r>
  <r>
    <s v="NS-0046"/>
    <x v="39"/>
    <x v="3"/>
    <s v="Corporate"/>
    <s v="P302"/>
    <s v="Wall Mirror"/>
    <x v="4"/>
    <n v="85"/>
    <n v="7"/>
    <n v="595"/>
    <n v="0.1"/>
    <n v="59.5"/>
    <n v="535.5"/>
    <n v="41"/>
    <n v="287"/>
    <n v="248.5"/>
    <n v="0.46405228758169936"/>
    <x v="0"/>
    <s v="Zara"/>
  </r>
  <r>
    <s v="NS-0047"/>
    <x v="38"/>
    <x v="2"/>
    <s v="Online"/>
    <s v="P502"/>
    <s v="Shelving Unit"/>
    <x v="1"/>
    <n v="115"/>
    <n v="1"/>
    <n v="115"/>
    <n v="0.2"/>
    <n v="23"/>
    <n v="92"/>
    <n v="67"/>
    <n v="67"/>
    <n v="25"/>
    <n v="0.27173913043478259"/>
    <x v="1"/>
    <s v="Tom"/>
  </r>
  <r>
    <s v="NS-0048"/>
    <x v="40"/>
    <x v="0"/>
    <s v="Online"/>
    <s v="P301"/>
    <s v="Cushion Set"/>
    <x v="4"/>
    <n v="32"/>
    <n v="5"/>
    <n v="160"/>
    <n v="0.05"/>
    <n v="8"/>
    <n v="152"/>
    <n v="14"/>
    <n v="70"/>
    <n v="82"/>
    <n v="0.53947368421052633"/>
    <x v="2"/>
    <s v="Zara"/>
  </r>
  <r>
    <s v="NS-0049"/>
    <x v="41"/>
    <x v="3"/>
    <s v="In-Store"/>
    <s v="P502"/>
    <s v="Shelving Unit"/>
    <x v="1"/>
    <n v="115"/>
    <n v="3"/>
    <n v="345"/>
    <n v="0.15"/>
    <n v="51.75"/>
    <n v="293.25"/>
    <n v="67"/>
    <n v="201"/>
    <n v="92.25"/>
    <n v="0.31457800511508949"/>
    <x v="0"/>
    <s v="Lewis"/>
  </r>
  <r>
    <s v="NS-0050"/>
    <x v="42"/>
    <x v="0"/>
    <s v="Corporate"/>
    <s v="P401"/>
    <s v="Table Lamp"/>
    <x v="2"/>
    <n v="62"/>
    <n v="6"/>
    <n v="372"/>
    <n v="0.2"/>
    <n v="74.400000000000006"/>
    <n v="297.60000000000002"/>
    <n v="31"/>
    <n v="186"/>
    <n v="111.60000000000002"/>
    <n v="0.37500000000000006"/>
    <x v="2"/>
    <s v="Priya"/>
  </r>
  <r>
    <s v="NS-0051"/>
    <x v="43"/>
    <x v="1"/>
    <s v="Corporate"/>
    <s v="P202"/>
    <s v="Cookware Set"/>
    <x v="3"/>
    <n v="110"/>
    <n v="3"/>
    <n v="330"/>
    <n v="0"/>
    <n v="0"/>
    <n v="330"/>
    <n v="65"/>
    <n v="195"/>
    <n v="135"/>
    <n v="0.40909090909090912"/>
    <x v="2"/>
    <s v="Zara"/>
  </r>
  <r>
    <s v="NS-0052"/>
    <x v="44"/>
    <x v="0"/>
    <s v="Online"/>
    <s v="P501"/>
    <s v="Storage Box"/>
    <x v="1"/>
    <n v="26"/>
    <n v="1"/>
    <n v="26"/>
    <n v="0"/>
    <n v="0"/>
    <n v="26"/>
    <n v="11"/>
    <n v="11"/>
    <n v="15"/>
    <n v="0.57692307692307687"/>
    <x v="0"/>
    <s v="Zara"/>
  </r>
  <r>
    <s v="NS-0053"/>
    <x v="45"/>
    <x v="2"/>
    <s v="In-Store"/>
    <s v="P502"/>
    <s v="Shelving Unit"/>
    <x v="1"/>
    <n v="115"/>
    <n v="7"/>
    <n v="805"/>
    <n v="0.2"/>
    <n v="161"/>
    <n v="644"/>
    <n v="67"/>
    <n v="469"/>
    <n v="175"/>
    <n v="0.27173913043478259"/>
    <x v="2"/>
    <s v="Daniel"/>
  </r>
  <r>
    <s v="NS-0054"/>
    <x v="46"/>
    <x v="2"/>
    <s v="Online"/>
    <s v="P202"/>
    <s v="Cookware Set"/>
    <x v="3"/>
    <n v="110"/>
    <n v="7"/>
    <n v="770"/>
    <n v="0"/>
    <n v="0"/>
    <n v="770"/>
    <n v="65"/>
    <n v="455"/>
    <n v="315"/>
    <n v="0.40909090909090912"/>
    <x v="0"/>
    <s v="Lewis"/>
  </r>
  <r>
    <s v="NS-0055"/>
    <x v="47"/>
    <x v="2"/>
    <s v="In-Store"/>
    <s v="P303"/>
    <s v="Rug"/>
    <x v="4"/>
    <n v="145"/>
    <n v="6"/>
    <n v="870"/>
    <n v="0.1"/>
    <n v="87"/>
    <n v="783"/>
    <n v="88"/>
    <n v="528"/>
    <n v="255"/>
    <n v="0.32567049808429116"/>
    <x v="0"/>
    <s v="Daniel"/>
  </r>
  <r>
    <s v="NS-0056"/>
    <x v="48"/>
    <x v="2"/>
    <s v="Online"/>
    <s v="P202"/>
    <s v="Cookware Set"/>
    <x v="3"/>
    <n v="110"/>
    <n v="3"/>
    <n v="330"/>
    <n v="0.05"/>
    <n v="16.5"/>
    <n v="313.5"/>
    <n v="65"/>
    <n v="195"/>
    <n v="118.5"/>
    <n v="0.37799043062200954"/>
    <x v="2"/>
    <s v="Amira"/>
  </r>
  <r>
    <s v="NS-0057"/>
    <x v="49"/>
    <x v="1"/>
    <s v="Online"/>
    <s v="P103"/>
    <s v="Desk"/>
    <x v="0"/>
    <n v="210"/>
    <n v="3"/>
    <n v="630"/>
    <n v="0.1"/>
    <n v="63"/>
    <n v="567"/>
    <n v="132"/>
    <n v="396"/>
    <n v="171"/>
    <n v="0.30158730158730157"/>
    <x v="0"/>
    <s v="Lewis"/>
  </r>
  <r>
    <s v="NS-0058"/>
    <x v="50"/>
    <x v="0"/>
    <s v="In-Store"/>
    <s v="P203"/>
    <s v="Blender"/>
    <x v="3"/>
    <n v="75"/>
    <n v="4"/>
    <n v="300"/>
    <n v="0.05"/>
    <n v="15"/>
    <n v="285"/>
    <n v="43"/>
    <n v="172"/>
    <n v="113"/>
    <n v="0.39649122807017545"/>
    <x v="0"/>
    <s v="Lewis"/>
  </r>
  <r>
    <s v="NS-0059"/>
    <x v="51"/>
    <x v="1"/>
    <s v="Online"/>
    <s v="P401"/>
    <s v="Table Lamp"/>
    <x v="2"/>
    <n v="62"/>
    <n v="1"/>
    <n v="62"/>
    <n v="0.15"/>
    <n v="9.2999999999999989"/>
    <n v="52.7"/>
    <n v="31"/>
    <n v="31"/>
    <n v="21.700000000000003"/>
    <n v="0.41176470588235298"/>
    <x v="0"/>
    <s v="Lewis"/>
  </r>
  <r>
    <s v="NS-0060"/>
    <x v="33"/>
    <x v="0"/>
    <s v="In-Store"/>
    <s v="P302"/>
    <s v="Wall Mirror"/>
    <x v="4"/>
    <n v="85"/>
    <n v="7"/>
    <n v="595"/>
    <n v="0.05"/>
    <n v="29.75"/>
    <n v="565.25"/>
    <n v="41"/>
    <n v="287"/>
    <n v="278.25"/>
    <n v="0.49226006191950467"/>
    <x v="0"/>
    <s v="Grace"/>
  </r>
  <r>
    <s v="NS-0061"/>
    <x v="52"/>
    <x v="2"/>
    <s v="In-Store"/>
    <s v="P102"/>
    <s v="Dining Chair"/>
    <x v="0"/>
    <n v="95"/>
    <n v="7"/>
    <n v="665"/>
    <n v="0"/>
    <n v="0"/>
    <n v="665"/>
    <n v="54"/>
    <n v="378"/>
    <n v="287"/>
    <n v="0.43157894736842106"/>
    <x v="0"/>
    <s v="Daniel"/>
  </r>
  <r>
    <s v="NS-0062"/>
    <x v="53"/>
    <x v="2"/>
    <s v="Corporate"/>
    <s v="P101"/>
    <s v="Sofa"/>
    <x v="0"/>
    <n v="420"/>
    <n v="4"/>
    <n v="1680"/>
    <n v="0.05"/>
    <n v="84"/>
    <n v="1596"/>
    <n v="280"/>
    <n v="1120"/>
    <n v="476"/>
    <n v="0.2982456140350877"/>
    <x v="2"/>
    <s v="Tom"/>
  </r>
  <r>
    <s v="NS-0063"/>
    <x v="5"/>
    <x v="1"/>
    <s v="Corporate"/>
    <s v="P301"/>
    <s v="Cushion Set"/>
    <x v="4"/>
    <n v="32"/>
    <n v="4"/>
    <n v="128"/>
    <n v="0.2"/>
    <n v="25.6"/>
    <n v="102.4"/>
    <n v="14"/>
    <n v="56"/>
    <n v="46.400000000000006"/>
    <n v="0.45312500000000006"/>
    <x v="0"/>
    <s v="Daniel"/>
  </r>
  <r>
    <s v="NS-0064"/>
    <x v="54"/>
    <x v="3"/>
    <s v="Online"/>
    <s v="P103"/>
    <s v="Desk"/>
    <x v="0"/>
    <n v="210"/>
    <n v="1"/>
    <n v="210"/>
    <n v="0.05"/>
    <n v="10.5"/>
    <n v="199.5"/>
    <n v="132"/>
    <n v="132"/>
    <n v="67.5"/>
    <n v="0.33834586466165412"/>
    <x v="0"/>
    <s v="Zara"/>
  </r>
  <r>
    <s v="NS-0065"/>
    <x v="14"/>
    <x v="3"/>
    <s v="In-Store"/>
    <s v="P201"/>
    <s v="Kettle"/>
    <x v="3"/>
    <n v="38"/>
    <n v="2"/>
    <n v="76"/>
    <n v="0.05"/>
    <n v="3.8000000000000003"/>
    <n v="72.2"/>
    <n v="21"/>
    <n v="42"/>
    <n v="30.200000000000003"/>
    <n v="0.4182825484764543"/>
    <x v="0"/>
    <s v="Tom"/>
  </r>
  <r>
    <s v="NS-0066"/>
    <x v="55"/>
    <x v="4"/>
    <s v="Corporate"/>
    <s v="P202"/>
    <s v="Cookware Set"/>
    <x v="3"/>
    <n v="110"/>
    <n v="3"/>
    <n v="330"/>
    <n v="0"/>
    <n v="0"/>
    <n v="330"/>
    <n v="65"/>
    <n v="195"/>
    <n v="135"/>
    <n v="0.40909090909090912"/>
    <x v="0"/>
    <s v="Daniel"/>
  </r>
  <r>
    <s v="NS-0067"/>
    <x v="51"/>
    <x v="2"/>
    <s v="In-Store"/>
    <s v="P402"/>
    <s v="Floor Lamp"/>
    <x v="2"/>
    <n v="125"/>
    <n v="5"/>
    <n v="625"/>
    <n v="0.1"/>
    <n v="62.5"/>
    <n v="562.5"/>
    <n v="73"/>
    <n v="365"/>
    <n v="197.5"/>
    <n v="0.3511111111111111"/>
    <x v="0"/>
    <s v="Zara"/>
  </r>
  <r>
    <s v="NS-0068"/>
    <x v="56"/>
    <x v="1"/>
    <s v="In-Store"/>
    <s v="P302"/>
    <s v="Wall Mirror"/>
    <x v="4"/>
    <n v="85"/>
    <n v="3"/>
    <n v="255"/>
    <n v="0"/>
    <n v="0"/>
    <n v="255"/>
    <n v="41"/>
    <n v="123"/>
    <n v="132"/>
    <n v="0.51764705882352946"/>
    <x v="0"/>
    <s v="Daniel"/>
  </r>
  <r>
    <s v="NS-0069"/>
    <x v="5"/>
    <x v="3"/>
    <s v="Online"/>
    <s v="P103"/>
    <s v="Desk"/>
    <x v="0"/>
    <n v="210"/>
    <n v="7"/>
    <n v="1470"/>
    <n v="0.05"/>
    <n v="73.5"/>
    <n v="1396.5"/>
    <n v="132"/>
    <n v="924"/>
    <n v="472.5"/>
    <n v="0.33834586466165412"/>
    <x v="0"/>
    <s v="Lewis"/>
  </r>
  <r>
    <s v="NS-0070"/>
    <x v="57"/>
    <x v="1"/>
    <s v="Online"/>
    <s v="P102"/>
    <s v="Dining Chair"/>
    <x v="0"/>
    <n v="95"/>
    <n v="6"/>
    <n v="570"/>
    <n v="0"/>
    <n v="0"/>
    <n v="570"/>
    <n v="54"/>
    <n v="324"/>
    <n v="246"/>
    <n v="0.43157894736842106"/>
    <x v="0"/>
    <s v="Grace"/>
  </r>
  <r>
    <s v="NS-0071"/>
    <x v="45"/>
    <x v="3"/>
    <s v="In-Store"/>
    <s v="P303"/>
    <s v="Rug"/>
    <x v="4"/>
    <n v="145"/>
    <n v="3"/>
    <n v="435"/>
    <n v="0"/>
    <n v="0"/>
    <n v="435"/>
    <n v="88"/>
    <n v="264"/>
    <n v="171"/>
    <n v="0.39310344827586208"/>
    <x v="0"/>
    <s v="Zara"/>
  </r>
  <r>
    <s v="NS-0072"/>
    <x v="35"/>
    <x v="0"/>
    <s v="Online"/>
    <s v="P201"/>
    <s v="Kettle"/>
    <x v="3"/>
    <n v="38"/>
    <n v="1"/>
    <n v="38"/>
    <n v="0.2"/>
    <n v="7.6000000000000005"/>
    <n v="30.4"/>
    <n v="21"/>
    <n v="21"/>
    <n v="9.3999999999999986"/>
    <n v="0.30921052631578944"/>
    <x v="2"/>
    <s v="Amira"/>
  </r>
  <r>
    <s v="NS-0073"/>
    <x v="58"/>
    <x v="3"/>
    <s v="In-Store"/>
    <s v="P101"/>
    <s v="Sofa"/>
    <x v="0"/>
    <n v="420"/>
    <n v="2"/>
    <n v="840"/>
    <n v="0.15"/>
    <n v="126"/>
    <n v="714"/>
    <n v="280"/>
    <n v="560"/>
    <n v="154"/>
    <n v="0.21568627450980393"/>
    <x v="0"/>
    <s v="Amira"/>
  </r>
  <r>
    <s v="NS-0074"/>
    <x v="24"/>
    <x v="1"/>
    <s v="Online"/>
    <s v="P501"/>
    <s v="Storage Box"/>
    <x v="1"/>
    <n v="26"/>
    <n v="4"/>
    <n v="104"/>
    <n v="0.2"/>
    <n v="20.8"/>
    <n v="83.2"/>
    <n v="11"/>
    <n v="44"/>
    <n v="39.200000000000003"/>
    <n v="0.47115384615384615"/>
    <x v="0"/>
    <s v="Tom"/>
  </r>
  <r>
    <s v="NS-0075"/>
    <x v="59"/>
    <x v="2"/>
    <s v="Online"/>
    <s v="P402"/>
    <s v="Floor Lamp"/>
    <x v="2"/>
    <n v="125"/>
    <n v="4"/>
    <n v="500"/>
    <n v="0"/>
    <n v="0"/>
    <n v="500"/>
    <n v="73"/>
    <n v="292"/>
    <n v="208"/>
    <n v="0.41599999999999998"/>
    <x v="0"/>
    <s v="Tom"/>
  </r>
  <r>
    <s v="NS-0076"/>
    <x v="60"/>
    <x v="3"/>
    <s v="In-Store"/>
    <s v="P402"/>
    <s v="Floor Lamp"/>
    <x v="2"/>
    <n v="125"/>
    <n v="7"/>
    <n v="875"/>
    <n v="0.15"/>
    <n v="131.25"/>
    <n v="743.75"/>
    <n v="73"/>
    <n v="511"/>
    <n v="232.75"/>
    <n v="0.31294117647058822"/>
    <x v="0"/>
    <s v="Daniel"/>
  </r>
  <r>
    <s v="NS-0077"/>
    <x v="43"/>
    <x v="2"/>
    <s v="Online"/>
    <s v="P102"/>
    <s v="Dining Chair"/>
    <x v="0"/>
    <n v="95"/>
    <n v="5"/>
    <n v="475"/>
    <n v="0"/>
    <n v="0"/>
    <n v="475"/>
    <n v="54"/>
    <n v="270"/>
    <n v="205"/>
    <n v="0.43157894736842106"/>
    <x v="1"/>
    <s v="Amira"/>
  </r>
  <r>
    <s v="NS-0078"/>
    <x v="39"/>
    <x v="0"/>
    <s v="In-Store"/>
    <s v="P102"/>
    <s v="Dining Chair"/>
    <x v="0"/>
    <n v="95"/>
    <n v="1"/>
    <n v="95"/>
    <n v="0.05"/>
    <n v="4.75"/>
    <n v="90.25"/>
    <n v="54"/>
    <n v="54"/>
    <n v="36.25"/>
    <n v="0.40166204986149584"/>
    <x v="0"/>
    <s v="Zara"/>
  </r>
  <r>
    <s v="NS-0079"/>
    <x v="61"/>
    <x v="0"/>
    <s v="In-Store"/>
    <s v="P302"/>
    <s v="Wall Mirror"/>
    <x v="4"/>
    <n v="85"/>
    <n v="3"/>
    <n v="255"/>
    <n v="0"/>
    <n v="0"/>
    <n v="255"/>
    <n v="41"/>
    <n v="123"/>
    <n v="132"/>
    <n v="0.51764705882352946"/>
    <x v="2"/>
    <s v="Daniel"/>
  </r>
  <r>
    <s v="NS-0080"/>
    <x v="62"/>
    <x v="0"/>
    <s v="Corporate"/>
    <s v="P101"/>
    <s v="Sofa"/>
    <x v="0"/>
    <n v="420"/>
    <n v="5"/>
    <n v="2100"/>
    <n v="0"/>
    <n v="0"/>
    <n v="2100"/>
    <n v="280"/>
    <n v="1400"/>
    <n v="700"/>
    <n v="0.33333333333333331"/>
    <x v="0"/>
    <s v="Zara"/>
  </r>
  <r>
    <s v="NS-0081"/>
    <x v="63"/>
    <x v="3"/>
    <s v="Corporate"/>
    <s v="P203"/>
    <s v="Blender"/>
    <x v="3"/>
    <n v="75"/>
    <n v="6"/>
    <n v="450"/>
    <n v="0"/>
    <n v="0"/>
    <n v="450"/>
    <n v="43"/>
    <n v="258"/>
    <n v="192"/>
    <n v="0.42666666666666669"/>
    <x v="2"/>
    <s v="Priya"/>
  </r>
  <r>
    <s v="NS-0082"/>
    <x v="64"/>
    <x v="2"/>
    <s v="In-Store"/>
    <s v="P501"/>
    <s v="Storage Box"/>
    <x v="1"/>
    <n v="26"/>
    <n v="5"/>
    <n v="130"/>
    <n v="0.1"/>
    <n v="13"/>
    <n v="117"/>
    <n v="11"/>
    <n v="55"/>
    <n v="62"/>
    <n v="0.52991452991452992"/>
    <x v="0"/>
    <s v="Zara"/>
  </r>
  <r>
    <s v="NS-0083"/>
    <x v="7"/>
    <x v="4"/>
    <s v="Corporate"/>
    <s v="P502"/>
    <s v="Shelving Unit"/>
    <x v="1"/>
    <n v="115"/>
    <n v="6"/>
    <n v="690"/>
    <n v="0.1"/>
    <n v="69"/>
    <n v="621"/>
    <n v="67"/>
    <n v="402"/>
    <n v="219"/>
    <n v="0.35265700483091789"/>
    <x v="0"/>
    <s v="Zara"/>
  </r>
  <r>
    <s v="NS-0084"/>
    <x v="65"/>
    <x v="3"/>
    <s v="Online"/>
    <s v="P302"/>
    <s v="Wall Mirror"/>
    <x v="4"/>
    <n v="85"/>
    <n v="3"/>
    <n v="255"/>
    <n v="0"/>
    <n v="0"/>
    <n v="255"/>
    <n v="41"/>
    <n v="123"/>
    <n v="132"/>
    <n v="0.51764705882352946"/>
    <x v="0"/>
    <s v="Daniel"/>
  </r>
  <r>
    <s v="NS-0085"/>
    <x v="66"/>
    <x v="3"/>
    <s v="In-Store"/>
    <s v="P302"/>
    <s v="Wall Mirror"/>
    <x v="4"/>
    <n v="85"/>
    <n v="6"/>
    <n v="510"/>
    <n v="0.15"/>
    <n v="76.5"/>
    <n v="433.5"/>
    <n v="41"/>
    <n v="246"/>
    <n v="187.5"/>
    <n v="0.43252595155709345"/>
    <x v="0"/>
    <s v="Priya"/>
  </r>
  <r>
    <s v="NS-0086"/>
    <x v="67"/>
    <x v="1"/>
    <s v="Corporate"/>
    <s v="P101"/>
    <s v="Sofa"/>
    <x v="0"/>
    <n v="420"/>
    <n v="3"/>
    <n v="1260"/>
    <n v="0.05"/>
    <n v="63"/>
    <n v="1197"/>
    <n v="280"/>
    <n v="840"/>
    <n v="357"/>
    <n v="0.2982456140350877"/>
    <x v="0"/>
    <s v="Priya"/>
  </r>
  <r>
    <s v="NS-0087"/>
    <x v="68"/>
    <x v="0"/>
    <s v="Corporate"/>
    <s v="P202"/>
    <s v="Cookware Set"/>
    <x v="3"/>
    <n v="110"/>
    <n v="7"/>
    <n v="770"/>
    <n v="0.2"/>
    <n v="154"/>
    <n v="616"/>
    <n v="65"/>
    <n v="455"/>
    <n v="161"/>
    <n v="0.26136363636363635"/>
    <x v="0"/>
    <s v="Lewis"/>
  </r>
  <r>
    <s v="NS-0088"/>
    <x v="69"/>
    <x v="2"/>
    <s v="Corporate"/>
    <s v="P303"/>
    <s v="Rug"/>
    <x v="4"/>
    <n v="145"/>
    <n v="7"/>
    <n v="1015"/>
    <n v="0"/>
    <n v="0"/>
    <n v="1015"/>
    <n v="88"/>
    <n v="616"/>
    <n v="399"/>
    <n v="0.39310344827586208"/>
    <x v="0"/>
    <s v="Priya"/>
  </r>
  <r>
    <s v="NS-0089"/>
    <x v="70"/>
    <x v="1"/>
    <s v="Online"/>
    <s v="P502"/>
    <s v="Shelving Unit"/>
    <x v="1"/>
    <n v="115"/>
    <n v="5"/>
    <n v="575"/>
    <n v="0"/>
    <n v="0"/>
    <n v="575"/>
    <n v="67"/>
    <n v="335"/>
    <n v="240"/>
    <n v="0.41739130434782606"/>
    <x v="0"/>
    <s v="Grace"/>
  </r>
  <r>
    <s v="NS-0090"/>
    <x v="2"/>
    <x v="4"/>
    <s v="Corporate"/>
    <s v="P202"/>
    <s v="Cookware Set"/>
    <x v="3"/>
    <n v="110"/>
    <n v="3"/>
    <n v="330"/>
    <n v="0.05"/>
    <n v="16.5"/>
    <n v="313.5"/>
    <n v="65"/>
    <n v="195"/>
    <n v="118.5"/>
    <n v="0.37799043062200954"/>
    <x v="0"/>
    <s v="Daniel"/>
  </r>
  <r>
    <s v="NS-0091"/>
    <x v="71"/>
    <x v="1"/>
    <s v="In-Store"/>
    <s v="P201"/>
    <s v="Kettle"/>
    <x v="3"/>
    <n v="38"/>
    <n v="6"/>
    <n v="228"/>
    <n v="0.1"/>
    <n v="22.8"/>
    <n v="205.2"/>
    <n v="21"/>
    <n v="126"/>
    <n v="79.199999999999989"/>
    <n v="0.38596491228070173"/>
    <x v="0"/>
    <s v="Daniel"/>
  </r>
  <r>
    <s v="NS-0092"/>
    <x v="16"/>
    <x v="1"/>
    <s v="Corporate"/>
    <s v="P502"/>
    <s v="Shelving Unit"/>
    <x v="1"/>
    <n v="115"/>
    <n v="7"/>
    <n v="805"/>
    <n v="0.15"/>
    <n v="120.75"/>
    <n v="684.25"/>
    <n v="67"/>
    <n v="469"/>
    <n v="215.25"/>
    <n v="0.31457800511508949"/>
    <x v="0"/>
    <s v="Daniel"/>
  </r>
  <r>
    <s v="NS-0093"/>
    <x v="72"/>
    <x v="1"/>
    <s v="Online"/>
    <s v="P402"/>
    <s v="Floor Lamp"/>
    <x v="2"/>
    <n v="125"/>
    <n v="3"/>
    <n v="375"/>
    <n v="0.15"/>
    <n v="56.25"/>
    <n v="318.75"/>
    <n v="73"/>
    <n v="219"/>
    <n v="99.75"/>
    <n v="0.31294117647058822"/>
    <x v="0"/>
    <s v="Priya"/>
  </r>
  <r>
    <s v="NS-0094"/>
    <x v="73"/>
    <x v="4"/>
    <s v="Online"/>
    <s v="P303"/>
    <s v="Rug"/>
    <x v="4"/>
    <n v="145"/>
    <n v="3"/>
    <n v="435"/>
    <n v="0.15"/>
    <n v="65.25"/>
    <n v="369.75"/>
    <n v="88"/>
    <n v="264"/>
    <n v="105.75"/>
    <n v="0.28600405679513186"/>
    <x v="2"/>
    <s v="Lewis"/>
  </r>
  <r>
    <s v="NS-0095"/>
    <x v="74"/>
    <x v="3"/>
    <s v="Corporate"/>
    <s v="P501"/>
    <s v="Storage Box"/>
    <x v="1"/>
    <n v="26"/>
    <n v="1"/>
    <n v="26"/>
    <n v="0"/>
    <n v="0"/>
    <n v="26"/>
    <n v="11"/>
    <n v="11"/>
    <n v="15"/>
    <n v="0.57692307692307687"/>
    <x v="2"/>
    <s v="Zara"/>
  </r>
  <r>
    <s v="NS-0096"/>
    <x v="28"/>
    <x v="3"/>
    <s v="Corporate"/>
    <s v="P501"/>
    <s v="Storage Box"/>
    <x v="1"/>
    <n v="26"/>
    <n v="1"/>
    <n v="26"/>
    <n v="0.05"/>
    <n v="1.3"/>
    <n v="24.7"/>
    <n v="11"/>
    <n v="11"/>
    <n v="13.7"/>
    <n v="0.55465587044534415"/>
    <x v="0"/>
    <s v="Priya"/>
  </r>
  <r>
    <s v="NS-0097"/>
    <x v="75"/>
    <x v="1"/>
    <s v="Corporate"/>
    <s v="P102"/>
    <s v="Dining Chair"/>
    <x v="0"/>
    <n v="95"/>
    <n v="1"/>
    <n v="95"/>
    <n v="0.05"/>
    <n v="4.75"/>
    <n v="90.25"/>
    <n v="54"/>
    <n v="54"/>
    <n v="36.25"/>
    <n v="0.40166204986149584"/>
    <x v="0"/>
    <s v="Amira"/>
  </r>
  <r>
    <s v="NS-0098"/>
    <x v="76"/>
    <x v="3"/>
    <s v="In-Store"/>
    <s v="P102"/>
    <s v="Dining Chair"/>
    <x v="0"/>
    <n v="95"/>
    <n v="2"/>
    <n v="190"/>
    <n v="0.1"/>
    <n v="19"/>
    <n v="171"/>
    <n v="54"/>
    <n v="108"/>
    <n v="63"/>
    <n v="0.36842105263157893"/>
    <x v="1"/>
    <s v="Tom"/>
  </r>
  <r>
    <s v="NS-0099"/>
    <x v="77"/>
    <x v="2"/>
    <s v="In-Store"/>
    <s v="P201"/>
    <s v="Kettle"/>
    <x v="3"/>
    <n v="38"/>
    <n v="1"/>
    <n v="38"/>
    <n v="0.05"/>
    <n v="1.9000000000000001"/>
    <n v="36.1"/>
    <n v="21"/>
    <n v="21"/>
    <n v="15.100000000000001"/>
    <n v="0.4182825484764543"/>
    <x v="0"/>
    <s v="Grace"/>
  </r>
  <r>
    <s v="NS-0100"/>
    <x v="78"/>
    <x v="4"/>
    <s v="In-Store"/>
    <s v="P202"/>
    <s v="Cookware Set"/>
    <x v="3"/>
    <n v="110"/>
    <n v="3"/>
    <n v="330"/>
    <n v="0"/>
    <n v="0"/>
    <n v="330"/>
    <n v="65"/>
    <n v="195"/>
    <n v="135"/>
    <n v="0.40909090909090912"/>
    <x v="2"/>
    <s v="Lewis"/>
  </r>
  <r>
    <s v="NS-0101"/>
    <x v="60"/>
    <x v="3"/>
    <s v="Corporate"/>
    <s v="P103"/>
    <s v="Desk"/>
    <x v="0"/>
    <n v="210"/>
    <n v="5"/>
    <n v="1050"/>
    <n v="0.05"/>
    <n v="52.5"/>
    <n v="997.5"/>
    <n v="132"/>
    <n v="660"/>
    <n v="337.5"/>
    <n v="0.33834586466165412"/>
    <x v="0"/>
    <s v="Tom"/>
  </r>
  <r>
    <s v="NS-0102"/>
    <x v="50"/>
    <x v="3"/>
    <s v="Online"/>
    <s v="P202"/>
    <s v="Cookware Set"/>
    <x v="3"/>
    <n v="110"/>
    <n v="6"/>
    <n v="660"/>
    <n v="0"/>
    <n v="0"/>
    <n v="660"/>
    <n v="65"/>
    <n v="390"/>
    <n v="270"/>
    <n v="0.40909090909090912"/>
    <x v="2"/>
    <s v="Lewis"/>
  </r>
  <r>
    <s v="NS-0103"/>
    <x v="79"/>
    <x v="3"/>
    <s v="Online"/>
    <s v="P203"/>
    <s v="Blender"/>
    <x v="3"/>
    <n v="75"/>
    <n v="6"/>
    <n v="450"/>
    <n v="0.15"/>
    <n v="67.5"/>
    <n v="382.5"/>
    <n v="43"/>
    <n v="258"/>
    <n v="124.5"/>
    <n v="0.32549019607843138"/>
    <x v="0"/>
    <s v="Amira"/>
  </r>
  <r>
    <s v="NS-0104"/>
    <x v="21"/>
    <x v="4"/>
    <s v="Corporate"/>
    <s v="P201"/>
    <s v="Kettle"/>
    <x v="3"/>
    <n v="38"/>
    <n v="2"/>
    <n v="76"/>
    <n v="0.15"/>
    <n v="11.4"/>
    <n v="64.599999999999994"/>
    <n v="21"/>
    <n v="42"/>
    <n v="22.599999999999994"/>
    <n v="0.34984520123839002"/>
    <x v="0"/>
    <s v="Grace"/>
  </r>
  <r>
    <s v="NS-0105"/>
    <x v="75"/>
    <x v="4"/>
    <s v="Corporate"/>
    <s v="P103"/>
    <s v="Desk"/>
    <x v="0"/>
    <n v="210"/>
    <n v="5"/>
    <n v="1050"/>
    <n v="0.15"/>
    <n v="157.5"/>
    <n v="892.5"/>
    <n v="132"/>
    <n v="660"/>
    <n v="232.5"/>
    <n v="0.26050420168067229"/>
    <x v="0"/>
    <s v="Lewis"/>
  </r>
  <r>
    <s v="NS-0106"/>
    <x v="66"/>
    <x v="0"/>
    <s v="In-Store"/>
    <s v="P201"/>
    <s v="Kettle"/>
    <x v="3"/>
    <n v="38"/>
    <n v="3"/>
    <n v="114"/>
    <n v="0.05"/>
    <n v="5.7"/>
    <n v="108.3"/>
    <n v="21"/>
    <n v="63"/>
    <n v="45.3"/>
    <n v="0.4182825484764543"/>
    <x v="0"/>
    <s v="Tom"/>
  </r>
  <r>
    <s v="NS-0107"/>
    <x v="80"/>
    <x v="2"/>
    <s v="Corporate"/>
    <s v="P301"/>
    <s v="Cushion Set"/>
    <x v="4"/>
    <n v="32"/>
    <n v="4"/>
    <n v="128"/>
    <n v="0.05"/>
    <n v="6.4"/>
    <n v="121.6"/>
    <n v="14"/>
    <n v="56"/>
    <n v="65.599999999999994"/>
    <n v="0.53947368421052633"/>
    <x v="0"/>
    <s v="Daniel"/>
  </r>
  <r>
    <s v="NS-0108"/>
    <x v="14"/>
    <x v="4"/>
    <s v="In-Store"/>
    <s v="P401"/>
    <s v="Table Lamp"/>
    <x v="2"/>
    <n v="62"/>
    <n v="5"/>
    <n v="310"/>
    <n v="0.15"/>
    <n v="46.5"/>
    <n v="263.5"/>
    <n v="31"/>
    <n v="155"/>
    <n v="108.5"/>
    <n v="0.41176470588235292"/>
    <x v="0"/>
    <s v="Priya"/>
  </r>
  <r>
    <s v="NS-0109"/>
    <x v="81"/>
    <x v="0"/>
    <s v="Corporate"/>
    <s v="P103"/>
    <s v="Desk"/>
    <x v="0"/>
    <n v="210"/>
    <n v="7"/>
    <n v="1470"/>
    <n v="0.15"/>
    <n v="220.5"/>
    <n v="1249.5"/>
    <n v="132"/>
    <n v="924"/>
    <n v="325.5"/>
    <n v="0.26050420168067229"/>
    <x v="0"/>
    <s v="Priya"/>
  </r>
  <r>
    <s v="NS-0110"/>
    <x v="82"/>
    <x v="1"/>
    <s v="Online"/>
    <s v="P501"/>
    <s v="Storage Box"/>
    <x v="1"/>
    <n v="26"/>
    <n v="3"/>
    <n v="78"/>
    <n v="0.2"/>
    <n v="15.600000000000001"/>
    <n v="62.4"/>
    <n v="11"/>
    <n v="33"/>
    <n v="29.4"/>
    <n v="0.47115384615384615"/>
    <x v="0"/>
    <s v="Grace"/>
  </r>
  <r>
    <s v="NS-0111"/>
    <x v="14"/>
    <x v="3"/>
    <s v="Corporate"/>
    <s v="P301"/>
    <s v="Cushion Set"/>
    <x v="4"/>
    <n v="32"/>
    <n v="5"/>
    <n v="160"/>
    <n v="0.25"/>
    <n v="40"/>
    <n v="120"/>
    <n v="14"/>
    <n v="70"/>
    <n v="50"/>
    <n v="0.41666666666666669"/>
    <x v="0"/>
    <s v="Daniel"/>
  </r>
  <r>
    <s v="NS-0112"/>
    <x v="83"/>
    <x v="2"/>
    <s v="Corporate"/>
    <s v="P303"/>
    <s v="Rug"/>
    <x v="4"/>
    <n v="145"/>
    <n v="3"/>
    <n v="435"/>
    <n v="0.05"/>
    <n v="21.75"/>
    <n v="413.25"/>
    <n v="88"/>
    <n v="264"/>
    <n v="149.25"/>
    <n v="0.36116152450090744"/>
    <x v="0"/>
    <s v="Lewis"/>
  </r>
  <r>
    <s v="NS-0113"/>
    <x v="84"/>
    <x v="1"/>
    <s v="In-Store"/>
    <s v="P502"/>
    <s v="Shelving Unit"/>
    <x v="1"/>
    <n v="115"/>
    <n v="6"/>
    <n v="690"/>
    <n v="0.05"/>
    <n v="34.5"/>
    <n v="655.5"/>
    <n v="67"/>
    <n v="402"/>
    <n v="253.5"/>
    <n v="0.38672768878718533"/>
    <x v="0"/>
    <s v="Grace"/>
  </r>
  <r>
    <s v="NS-0114"/>
    <x v="5"/>
    <x v="4"/>
    <s v="Online"/>
    <s v="P101"/>
    <s v="Sofa"/>
    <x v="0"/>
    <n v="420"/>
    <n v="2"/>
    <n v="840"/>
    <n v="0.1"/>
    <n v="84"/>
    <n v="756"/>
    <n v="280"/>
    <n v="560"/>
    <n v="196"/>
    <n v="0.25925925925925924"/>
    <x v="0"/>
    <s v="Daniel"/>
  </r>
  <r>
    <s v="NS-0115"/>
    <x v="72"/>
    <x v="4"/>
    <s v="In-Store"/>
    <s v="P402"/>
    <s v="Floor Lamp"/>
    <x v="2"/>
    <n v="125"/>
    <n v="2"/>
    <n v="250"/>
    <n v="0.15"/>
    <n v="37.5"/>
    <n v="212.5"/>
    <n v="73"/>
    <n v="146"/>
    <n v="66.5"/>
    <n v="0.31294117647058822"/>
    <x v="0"/>
    <s v="Grace"/>
  </r>
  <r>
    <s v="NS-0116"/>
    <x v="73"/>
    <x v="2"/>
    <s v="Corporate"/>
    <s v="P301"/>
    <s v="Cushion Set"/>
    <x v="4"/>
    <n v="32"/>
    <n v="7"/>
    <n v="224"/>
    <n v="0.05"/>
    <n v="11.200000000000001"/>
    <n v="212.8"/>
    <n v="14"/>
    <n v="98"/>
    <n v="114.80000000000001"/>
    <n v="0.53947368421052633"/>
    <x v="0"/>
    <s v="Daniel"/>
  </r>
  <r>
    <s v="NS-0117"/>
    <x v="25"/>
    <x v="1"/>
    <s v="Corporate"/>
    <s v="P101"/>
    <s v="Sofa"/>
    <x v="0"/>
    <n v="420"/>
    <n v="3"/>
    <n v="1260"/>
    <n v="0"/>
    <n v="0"/>
    <n v="1260"/>
    <n v="280"/>
    <n v="840"/>
    <n v="420"/>
    <n v="0.33333333333333331"/>
    <x v="0"/>
    <s v="Zara"/>
  </r>
  <r>
    <s v="NS-0118"/>
    <x v="85"/>
    <x v="2"/>
    <s v="Corporate"/>
    <s v="P103"/>
    <s v="Desk"/>
    <x v="0"/>
    <n v="210"/>
    <n v="1"/>
    <n v="210"/>
    <n v="0.1"/>
    <n v="21"/>
    <n v="189"/>
    <n v="132"/>
    <n v="132"/>
    <n v="57"/>
    <n v="0.30158730158730157"/>
    <x v="0"/>
    <s v="Daniel"/>
  </r>
  <r>
    <s v="NS-0119"/>
    <x v="86"/>
    <x v="3"/>
    <s v="Corporate"/>
    <s v="P302"/>
    <s v="Wall Mirror"/>
    <x v="4"/>
    <n v="85"/>
    <n v="4"/>
    <n v="340"/>
    <n v="0.05"/>
    <n v="17"/>
    <n v="323"/>
    <n v="41"/>
    <n v="164"/>
    <n v="159"/>
    <n v="0.49226006191950467"/>
    <x v="0"/>
    <s v="Grace"/>
  </r>
  <r>
    <s v="NS-0120"/>
    <x v="12"/>
    <x v="2"/>
    <s v="In-Store"/>
    <s v="P103"/>
    <s v="Desk"/>
    <x v="0"/>
    <n v="210"/>
    <n v="4"/>
    <n v="840"/>
    <n v="0.25"/>
    <n v="210"/>
    <n v="630"/>
    <n v="132"/>
    <n v="528"/>
    <n v="102"/>
    <n v="0.16190476190476191"/>
    <x v="0"/>
    <s v="Zara"/>
  </r>
  <r>
    <s v="NS-0121"/>
    <x v="47"/>
    <x v="2"/>
    <s v="Online"/>
    <s v="P302"/>
    <s v="Wall Mirror"/>
    <x v="4"/>
    <n v="85"/>
    <n v="7"/>
    <n v="595"/>
    <n v="0.05"/>
    <n v="29.75"/>
    <n v="565.25"/>
    <n v="41"/>
    <n v="287"/>
    <n v="278.25"/>
    <n v="0.49226006191950467"/>
    <x v="0"/>
    <s v="Zara"/>
  </r>
  <r>
    <s v="NS-0122"/>
    <x v="87"/>
    <x v="4"/>
    <s v="Corporate"/>
    <s v="P101"/>
    <s v="Sofa"/>
    <x v="0"/>
    <n v="420"/>
    <n v="4"/>
    <n v="1680"/>
    <n v="0"/>
    <n v="0"/>
    <n v="1680"/>
    <n v="280"/>
    <n v="1120"/>
    <n v="560"/>
    <n v="0.33333333333333331"/>
    <x v="2"/>
    <s v="Lewis"/>
  </r>
  <r>
    <s v="NS-0123"/>
    <x v="88"/>
    <x v="2"/>
    <s v="Corporate"/>
    <s v="P102"/>
    <s v="Dining Chair"/>
    <x v="0"/>
    <n v="95"/>
    <n v="7"/>
    <n v="665"/>
    <n v="0"/>
    <n v="0"/>
    <n v="665"/>
    <n v="54"/>
    <n v="378"/>
    <n v="287"/>
    <n v="0.43157894736842106"/>
    <x v="0"/>
    <s v="Zara"/>
  </r>
  <r>
    <s v="NS-0124"/>
    <x v="89"/>
    <x v="3"/>
    <s v="Online"/>
    <s v="P203"/>
    <s v="Blender"/>
    <x v="3"/>
    <n v="75"/>
    <n v="3"/>
    <n v="225"/>
    <n v="0.1"/>
    <n v="22.5"/>
    <n v="202.5"/>
    <n v="43"/>
    <n v="129"/>
    <n v="73.5"/>
    <n v="0.36296296296296299"/>
    <x v="0"/>
    <s v="Priya"/>
  </r>
  <r>
    <s v="NS-0125"/>
    <x v="29"/>
    <x v="4"/>
    <s v="In-Store"/>
    <s v="P103"/>
    <s v="Desk"/>
    <x v="0"/>
    <n v="210"/>
    <n v="4"/>
    <n v="840"/>
    <n v="0.05"/>
    <n v="42"/>
    <n v="798"/>
    <n v="132"/>
    <n v="528"/>
    <n v="270"/>
    <n v="0.33834586466165412"/>
    <x v="0"/>
    <s v="Grace"/>
  </r>
  <r>
    <s v="NS-0126"/>
    <x v="90"/>
    <x v="0"/>
    <s v="Online"/>
    <s v="P402"/>
    <s v="Floor Lamp"/>
    <x v="2"/>
    <n v="125"/>
    <n v="6"/>
    <n v="750"/>
    <n v="0.2"/>
    <n v="150"/>
    <n v="600"/>
    <n v="73"/>
    <n v="438"/>
    <n v="162"/>
    <n v="0.27"/>
    <x v="2"/>
    <s v="Lewis"/>
  </r>
  <r>
    <s v="NS-0127"/>
    <x v="71"/>
    <x v="0"/>
    <s v="Online"/>
    <s v="P302"/>
    <s v="Wall Mirror"/>
    <x v="4"/>
    <n v="85"/>
    <n v="4"/>
    <n v="340"/>
    <n v="0.05"/>
    <n v="17"/>
    <n v="323"/>
    <n v="41"/>
    <n v="164"/>
    <n v="159"/>
    <n v="0.49226006191950467"/>
    <x v="0"/>
    <s v="Amira"/>
  </r>
  <r>
    <s v="NS-0128"/>
    <x v="91"/>
    <x v="4"/>
    <s v="Online"/>
    <s v="P102"/>
    <s v="Dining Chair"/>
    <x v="0"/>
    <n v="95"/>
    <n v="6"/>
    <n v="570"/>
    <n v="0.15"/>
    <n v="85.5"/>
    <n v="484.5"/>
    <n v="54"/>
    <n v="324"/>
    <n v="160.5"/>
    <n v="0.33126934984520123"/>
    <x v="0"/>
    <s v="Amira"/>
  </r>
  <r>
    <s v="NS-0129"/>
    <x v="69"/>
    <x v="3"/>
    <s v="Online"/>
    <s v="P101"/>
    <s v="Sofa"/>
    <x v="0"/>
    <n v="420"/>
    <n v="2"/>
    <n v="840"/>
    <n v="0"/>
    <n v="0"/>
    <n v="840"/>
    <n v="280"/>
    <n v="560"/>
    <n v="280"/>
    <n v="0.33333333333333331"/>
    <x v="0"/>
    <s v="Priya"/>
  </r>
  <r>
    <s v="NS-0130"/>
    <x v="92"/>
    <x v="4"/>
    <s v="Online"/>
    <s v="P303"/>
    <s v="Rug"/>
    <x v="4"/>
    <n v="145"/>
    <n v="7"/>
    <n v="1015"/>
    <n v="0"/>
    <n v="0"/>
    <n v="1015"/>
    <n v="88"/>
    <n v="616"/>
    <n v="399"/>
    <n v="0.39310344827586208"/>
    <x v="0"/>
    <s v="Tom"/>
  </r>
  <r>
    <s v="NS-0131"/>
    <x v="93"/>
    <x v="0"/>
    <s v="Corporate"/>
    <s v="P203"/>
    <s v="Blender"/>
    <x v="3"/>
    <n v="75"/>
    <n v="1"/>
    <n v="75"/>
    <n v="0"/>
    <n v="0"/>
    <n v="75"/>
    <n v="43"/>
    <n v="43"/>
    <n v="32"/>
    <n v="0.42666666666666669"/>
    <x v="0"/>
    <s v="Daniel"/>
  </r>
  <r>
    <s v="NS-0132"/>
    <x v="94"/>
    <x v="0"/>
    <s v="Online"/>
    <s v="P203"/>
    <s v="Blender"/>
    <x v="3"/>
    <n v="75"/>
    <n v="3"/>
    <n v="225"/>
    <n v="0.05"/>
    <n v="11.25"/>
    <n v="213.75"/>
    <n v="43"/>
    <n v="129"/>
    <n v="84.75"/>
    <n v="0.39649122807017545"/>
    <x v="1"/>
    <s v="Zara"/>
  </r>
  <r>
    <s v="NS-0133"/>
    <x v="95"/>
    <x v="0"/>
    <s v="In-Store"/>
    <s v="P101"/>
    <s v="Sofa"/>
    <x v="0"/>
    <n v="420"/>
    <n v="3"/>
    <n v="1260"/>
    <n v="0.1"/>
    <n v="126"/>
    <n v="1134"/>
    <n v="280"/>
    <n v="840"/>
    <n v="294"/>
    <n v="0.25925925925925924"/>
    <x v="0"/>
    <s v="Zara"/>
  </r>
  <r>
    <s v="NS-0134"/>
    <x v="96"/>
    <x v="3"/>
    <s v="Online"/>
    <s v="P102"/>
    <s v="Dining Chair"/>
    <x v="0"/>
    <n v="95"/>
    <n v="1"/>
    <n v="95"/>
    <n v="0.05"/>
    <n v="4.75"/>
    <n v="90.25"/>
    <n v="54"/>
    <n v="54"/>
    <n v="36.25"/>
    <n v="0.40166204986149584"/>
    <x v="0"/>
    <s v="Tom"/>
  </r>
  <r>
    <s v="NS-0135"/>
    <x v="97"/>
    <x v="1"/>
    <s v="Online"/>
    <s v="P302"/>
    <s v="Wall Mirror"/>
    <x v="4"/>
    <n v="85"/>
    <n v="3"/>
    <n v="255"/>
    <n v="0.05"/>
    <n v="12.75"/>
    <n v="242.25"/>
    <n v="41"/>
    <n v="123"/>
    <n v="119.25"/>
    <n v="0.49226006191950467"/>
    <x v="0"/>
    <s v="Grace"/>
  </r>
  <r>
    <s v="NS-0136"/>
    <x v="98"/>
    <x v="0"/>
    <s v="Online"/>
    <s v="P301"/>
    <s v="Cushion Set"/>
    <x v="4"/>
    <n v="32"/>
    <n v="1"/>
    <n v="32"/>
    <n v="0.05"/>
    <n v="1.6"/>
    <n v="30.4"/>
    <n v="14"/>
    <n v="14"/>
    <n v="16.399999999999999"/>
    <n v="0.53947368421052633"/>
    <x v="0"/>
    <s v="Zara"/>
  </r>
  <r>
    <s v="NS-0137"/>
    <x v="24"/>
    <x v="2"/>
    <s v="In-Store"/>
    <s v="P102"/>
    <s v="Dining Chair"/>
    <x v="0"/>
    <n v="95"/>
    <n v="5"/>
    <n v="475"/>
    <n v="0"/>
    <n v="0"/>
    <n v="475"/>
    <n v="54"/>
    <n v="270"/>
    <n v="205"/>
    <n v="0.43157894736842106"/>
    <x v="0"/>
    <s v="Priya"/>
  </r>
  <r>
    <s v="NS-0138"/>
    <x v="61"/>
    <x v="2"/>
    <s v="Corporate"/>
    <s v="P101"/>
    <s v="Sofa"/>
    <x v="0"/>
    <n v="420"/>
    <n v="1"/>
    <n v="420"/>
    <n v="0.05"/>
    <n v="21"/>
    <n v="399"/>
    <n v="280"/>
    <n v="280"/>
    <n v="119"/>
    <n v="0.2982456140350877"/>
    <x v="0"/>
    <s v="Zara"/>
  </r>
  <r>
    <s v="NS-0139"/>
    <x v="93"/>
    <x v="3"/>
    <s v="In-Store"/>
    <s v="P203"/>
    <s v="Blender"/>
    <x v="3"/>
    <n v="75"/>
    <n v="2"/>
    <n v="150"/>
    <n v="0"/>
    <n v="0"/>
    <n v="150"/>
    <n v="43"/>
    <n v="86"/>
    <n v="64"/>
    <n v="0.42666666666666669"/>
    <x v="0"/>
    <s v="Zara"/>
  </r>
  <r>
    <s v="NS-0140"/>
    <x v="70"/>
    <x v="2"/>
    <s v="Corporate"/>
    <s v="P103"/>
    <s v="Desk"/>
    <x v="0"/>
    <n v="210"/>
    <n v="7"/>
    <n v="1470"/>
    <n v="0.05"/>
    <n v="73.5"/>
    <n v="1396.5"/>
    <n v="132"/>
    <n v="924"/>
    <n v="472.5"/>
    <n v="0.33834586466165412"/>
    <x v="1"/>
    <s v="Grace"/>
  </r>
  <r>
    <s v="NS-0141"/>
    <x v="65"/>
    <x v="2"/>
    <s v="Corporate"/>
    <s v="P101"/>
    <s v="Sofa"/>
    <x v="0"/>
    <n v="420"/>
    <n v="6"/>
    <n v="2520"/>
    <n v="0"/>
    <n v="0"/>
    <n v="2520"/>
    <n v="280"/>
    <n v="1680"/>
    <n v="840"/>
    <n v="0.33333333333333331"/>
    <x v="1"/>
    <s v="Priya"/>
  </r>
  <r>
    <s v="NS-0142"/>
    <x v="99"/>
    <x v="3"/>
    <s v="Corporate"/>
    <s v="P303"/>
    <s v="Rug"/>
    <x v="4"/>
    <n v="145"/>
    <n v="6"/>
    <n v="870"/>
    <n v="0.1"/>
    <n v="87"/>
    <n v="783"/>
    <n v="88"/>
    <n v="528"/>
    <n v="255"/>
    <n v="0.32567049808429116"/>
    <x v="0"/>
    <s v="Lewis"/>
  </r>
  <r>
    <s v="NS-0143"/>
    <x v="67"/>
    <x v="3"/>
    <s v="Online"/>
    <s v="P303"/>
    <s v="Rug"/>
    <x v="4"/>
    <n v="145"/>
    <n v="7"/>
    <n v="1015"/>
    <n v="0.05"/>
    <n v="50.75"/>
    <n v="964.25"/>
    <n v="88"/>
    <n v="616"/>
    <n v="348.25"/>
    <n v="0.36116152450090744"/>
    <x v="0"/>
    <s v="Daniel"/>
  </r>
  <r>
    <s v="NS-0144"/>
    <x v="34"/>
    <x v="3"/>
    <s v="In-Store"/>
    <s v="P201"/>
    <s v="Kettle"/>
    <x v="3"/>
    <n v="38"/>
    <n v="3"/>
    <n v="114"/>
    <n v="0.05"/>
    <n v="5.7"/>
    <n v="108.3"/>
    <n v="21"/>
    <n v="63"/>
    <n v="45.3"/>
    <n v="0.4182825484764543"/>
    <x v="0"/>
    <s v="Tom"/>
  </r>
  <r>
    <s v="NS-0145"/>
    <x v="100"/>
    <x v="3"/>
    <s v="In-Store"/>
    <s v="P103"/>
    <s v="Desk"/>
    <x v="0"/>
    <n v="210"/>
    <n v="3"/>
    <n v="630"/>
    <n v="0"/>
    <n v="0"/>
    <n v="630"/>
    <n v="132"/>
    <n v="396"/>
    <n v="234"/>
    <n v="0.37142857142857144"/>
    <x v="0"/>
    <s v="Lewis"/>
  </r>
  <r>
    <s v="NS-0146"/>
    <x v="97"/>
    <x v="2"/>
    <s v="Corporate"/>
    <s v="P402"/>
    <s v="Floor Lamp"/>
    <x v="2"/>
    <n v="125"/>
    <n v="5"/>
    <n v="625"/>
    <n v="0.05"/>
    <n v="31.25"/>
    <n v="593.75"/>
    <n v="73"/>
    <n v="365"/>
    <n v="228.75"/>
    <n v="0.38526315789473686"/>
    <x v="0"/>
    <s v="Amira"/>
  </r>
  <r>
    <s v="NS-0147"/>
    <x v="87"/>
    <x v="4"/>
    <s v="In-Store"/>
    <s v="P102"/>
    <s v="Dining Chair"/>
    <x v="0"/>
    <n v="95"/>
    <n v="3"/>
    <n v="285"/>
    <n v="0"/>
    <n v="0"/>
    <n v="285"/>
    <n v="54"/>
    <n v="162"/>
    <n v="123"/>
    <n v="0.43157894736842106"/>
    <x v="0"/>
    <s v="Priya"/>
  </r>
  <r>
    <s v="NS-0148"/>
    <x v="78"/>
    <x v="3"/>
    <s v="Corporate"/>
    <s v="P401"/>
    <s v="Table Lamp"/>
    <x v="2"/>
    <n v="62"/>
    <n v="6"/>
    <n v="372"/>
    <n v="0.1"/>
    <n v="37.200000000000003"/>
    <n v="334.8"/>
    <n v="31"/>
    <n v="186"/>
    <n v="148.80000000000001"/>
    <n v="0.44444444444444448"/>
    <x v="0"/>
    <s v="Amira"/>
  </r>
  <r>
    <s v="NS-0149"/>
    <x v="91"/>
    <x v="4"/>
    <s v="Corporate"/>
    <s v="P203"/>
    <s v="Blender"/>
    <x v="3"/>
    <n v="75"/>
    <n v="2"/>
    <n v="150"/>
    <n v="0.1"/>
    <n v="15"/>
    <n v="135"/>
    <n v="43"/>
    <n v="86"/>
    <n v="49"/>
    <n v="0.36296296296296299"/>
    <x v="0"/>
    <s v="Grace"/>
  </r>
  <r>
    <s v="NS-0150"/>
    <x v="62"/>
    <x v="0"/>
    <s v="In-Store"/>
    <s v="P201"/>
    <s v="Kettle"/>
    <x v="3"/>
    <n v="38"/>
    <n v="4"/>
    <n v="152"/>
    <n v="0.1"/>
    <n v="15.200000000000001"/>
    <n v="136.80000000000001"/>
    <n v="21"/>
    <n v="84"/>
    <n v="52.800000000000011"/>
    <n v="0.38596491228070179"/>
    <x v="0"/>
    <s v="Amira"/>
  </r>
  <r>
    <s v="NS-0151"/>
    <x v="101"/>
    <x v="0"/>
    <s v="Corporate"/>
    <s v="P203"/>
    <s v="Blender"/>
    <x v="3"/>
    <n v="75"/>
    <n v="2"/>
    <n v="150"/>
    <n v="0"/>
    <n v="0"/>
    <n v="150"/>
    <n v="43"/>
    <n v="86"/>
    <n v="64"/>
    <n v="0.42666666666666669"/>
    <x v="0"/>
    <s v="Zara"/>
  </r>
  <r>
    <s v="NS-0152"/>
    <x v="102"/>
    <x v="3"/>
    <s v="Online"/>
    <s v="P301"/>
    <s v="Cushion Set"/>
    <x v="4"/>
    <n v="32"/>
    <n v="3"/>
    <n v="96"/>
    <n v="0.1"/>
    <n v="9.6000000000000014"/>
    <n v="86.4"/>
    <n v="14"/>
    <n v="42"/>
    <n v="44.400000000000006"/>
    <n v="0.51388888888888895"/>
    <x v="2"/>
    <s v="Grace"/>
  </r>
  <r>
    <s v="NS-0153"/>
    <x v="98"/>
    <x v="0"/>
    <s v="In-Store"/>
    <s v="P103"/>
    <s v="Desk"/>
    <x v="0"/>
    <n v="210"/>
    <n v="2"/>
    <n v="420"/>
    <n v="0"/>
    <n v="0"/>
    <n v="420"/>
    <n v="132"/>
    <n v="264"/>
    <n v="156"/>
    <n v="0.37142857142857144"/>
    <x v="0"/>
    <s v="Zara"/>
  </r>
  <r>
    <s v="NS-0154"/>
    <x v="103"/>
    <x v="1"/>
    <s v="In-Store"/>
    <s v="P101"/>
    <s v="Sofa"/>
    <x v="0"/>
    <n v="420"/>
    <n v="2"/>
    <n v="840"/>
    <n v="0"/>
    <n v="0"/>
    <n v="840"/>
    <n v="280"/>
    <n v="560"/>
    <n v="280"/>
    <n v="0.33333333333333331"/>
    <x v="0"/>
    <s v="Lewis"/>
  </r>
  <r>
    <s v="NS-0155"/>
    <x v="79"/>
    <x v="0"/>
    <s v="Online"/>
    <s v="P401"/>
    <s v="Table Lamp"/>
    <x v="2"/>
    <n v="62"/>
    <n v="7"/>
    <n v="434"/>
    <n v="0.15"/>
    <n v="65.099999999999994"/>
    <n v="368.9"/>
    <n v="31"/>
    <n v="217"/>
    <n v="151.89999999999998"/>
    <n v="0.41176470588235292"/>
    <x v="0"/>
    <s v="Tom"/>
  </r>
  <r>
    <s v="NS-0156"/>
    <x v="104"/>
    <x v="4"/>
    <s v="In-Store"/>
    <s v="P101"/>
    <s v="Sofa"/>
    <x v="0"/>
    <n v="420"/>
    <n v="7"/>
    <n v="2940"/>
    <n v="0"/>
    <n v="0"/>
    <n v="2940"/>
    <n v="280"/>
    <n v="1960"/>
    <n v="980"/>
    <n v="0.33333333333333331"/>
    <x v="0"/>
    <s v="Grace"/>
  </r>
  <r>
    <s v="NS-0157"/>
    <x v="88"/>
    <x v="1"/>
    <s v="Online"/>
    <s v="P402"/>
    <s v="Floor Lamp"/>
    <x v="2"/>
    <n v="125"/>
    <n v="6"/>
    <n v="750"/>
    <n v="0.15"/>
    <n v="112.5"/>
    <n v="637.5"/>
    <n v="73"/>
    <n v="438"/>
    <n v="199.5"/>
    <n v="0.31294117647058822"/>
    <x v="0"/>
    <s v="Zara"/>
  </r>
  <r>
    <s v="NS-0158"/>
    <x v="105"/>
    <x v="2"/>
    <s v="Online"/>
    <s v="P501"/>
    <s v="Storage Box"/>
    <x v="1"/>
    <n v="26"/>
    <n v="1"/>
    <n v="26"/>
    <n v="0.05"/>
    <n v="1.3"/>
    <n v="24.7"/>
    <n v="11"/>
    <n v="11"/>
    <n v="13.7"/>
    <n v="0.55465587044534415"/>
    <x v="0"/>
    <s v="Lewis"/>
  </r>
  <r>
    <s v="NS-0159"/>
    <x v="106"/>
    <x v="0"/>
    <s v="Corporate"/>
    <s v="P502"/>
    <s v="Shelving Unit"/>
    <x v="1"/>
    <n v="115"/>
    <n v="1"/>
    <n v="115"/>
    <n v="0"/>
    <n v="0"/>
    <n v="115"/>
    <n v="67"/>
    <n v="67"/>
    <n v="48"/>
    <n v="0.41739130434782606"/>
    <x v="0"/>
    <s v="Amira"/>
  </r>
  <r>
    <s v="NS-0160"/>
    <x v="20"/>
    <x v="2"/>
    <s v="In-Store"/>
    <s v="P502"/>
    <s v="Shelving Unit"/>
    <x v="1"/>
    <n v="115"/>
    <n v="6"/>
    <n v="690"/>
    <n v="0"/>
    <n v="0"/>
    <n v="690"/>
    <n v="67"/>
    <n v="402"/>
    <n v="288"/>
    <n v="0.41739130434782606"/>
    <x v="0"/>
    <s v="Daniel"/>
  </r>
  <r>
    <s v="NS-0161"/>
    <x v="96"/>
    <x v="3"/>
    <s v="Online"/>
    <s v="P201"/>
    <s v="Kettle"/>
    <x v="3"/>
    <n v="38"/>
    <n v="5"/>
    <n v="190"/>
    <n v="0"/>
    <n v="0"/>
    <n v="190"/>
    <n v="21"/>
    <n v="105"/>
    <n v="85"/>
    <n v="0.44736842105263158"/>
    <x v="0"/>
    <s v="Tom"/>
  </r>
  <r>
    <s v="NS-0162"/>
    <x v="25"/>
    <x v="2"/>
    <s v="In-Store"/>
    <s v="P402"/>
    <s v="Floor Lamp"/>
    <x v="2"/>
    <n v="125"/>
    <n v="2"/>
    <n v="250"/>
    <n v="0.1"/>
    <n v="25"/>
    <n v="225"/>
    <n v="73"/>
    <n v="146"/>
    <n v="79"/>
    <n v="0.3511111111111111"/>
    <x v="0"/>
    <s v="Grace"/>
  </r>
  <r>
    <s v="NS-0163"/>
    <x v="23"/>
    <x v="0"/>
    <s v="Corporate"/>
    <s v="P203"/>
    <s v="Blender"/>
    <x v="3"/>
    <n v="75"/>
    <n v="3"/>
    <n v="225"/>
    <n v="0.2"/>
    <n v="45"/>
    <n v="180"/>
    <n v="43"/>
    <n v="129"/>
    <n v="51"/>
    <n v="0.28333333333333333"/>
    <x v="0"/>
    <s v="Lewis"/>
  </r>
  <r>
    <s v="NS-0164"/>
    <x v="24"/>
    <x v="3"/>
    <s v="In-Store"/>
    <s v="P501"/>
    <s v="Storage Box"/>
    <x v="1"/>
    <n v="26"/>
    <n v="4"/>
    <n v="104"/>
    <n v="0.15"/>
    <n v="15.6"/>
    <n v="88.4"/>
    <n v="11"/>
    <n v="44"/>
    <n v="44.400000000000006"/>
    <n v="0.50226244343891402"/>
    <x v="0"/>
    <s v="Grace"/>
  </r>
  <r>
    <s v="NS-0165"/>
    <x v="107"/>
    <x v="1"/>
    <s v="Corporate"/>
    <s v="P202"/>
    <s v="Cookware Set"/>
    <x v="3"/>
    <n v="110"/>
    <n v="5"/>
    <n v="550"/>
    <n v="0.05"/>
    <n v="27.5"/>
    <n v="522.5"/>
    <n v="65"/>
    <n v="325"/>
    <n v="197.5"/>
    <n v="0.37799043062200954"/>
    <x v="0"/>
    <s v="Tom"/>
  </r>
  <r>
    <s v="NS-0166"/>
    <x v="49"/>
    <x v="2"/>
    <s v="Corporate"/>
    <s v="P501"/>
    <s v="Storage Box"/>
    <x v="1"/>
    <n v="26"/>
    <n v="7"/>
    <n v="182"/>
    <n v="0"/>
    <n v="0"/>
    <n v="182"/>
    <n v="11"/>
    <n v="77"/>
    <n v="105"/>
    <n v="0.57692307692307687"/>
    <x v="0"/>
    <s v="Amira"/>
  </r>
  <r>
    <s v="NS-0167"/>
    <x v="101"/>
    <x v="2"/>
    <s v="Corporate"/>
    <s v="P401"/>
    <s v="Table Lamp"/>
    <x v="2"/>
    <n v="62"/>
    <n v="4"/>
    <n v="248"/>
    <n v="0"/>
    <n v="0"/>
    <n v="248"/>
    <n v="31"/>
    <n v="124"/>
    <n v="124"/>
    <n v="0.5"/>
    <x v="1"/>
    <s v="Zara"/>
  </r>
  <r>
    <s v="NS-0168"/>
    <x v="108"/>
    <x v="1"/>
    <s v="Corporate"/>
    <s v="P101"/>
    <s v="Sofa"/>
    <x v="0"/>
    <n v="420"/>
    <n v="2"/>
    <n v="840"/>
    <n v="0"/>
    <n v="0"/>
    <n v="840"/>
    <n v="280"/>
    <n v="560"/>
    <n v="280"/>
    <n v="0.33333333333333331"/>
    <x v="0"/>
    <s v="Grace"/>
  </r>
  <r>
    <s v="NS-0169"/>
    <x v="109"/>
    <x v="1"/>
    <s v="Corporate"/>
    <s v="P203"/>
    <s v="Blender"/>
    <x v="3"/>
    <n v="75"/>
    <n v="7"/>
    <n v="525"/>
    <n v="0.05"/>
    <n v="26.25"/>
    <n v="498.75"/>
    <n v="43"/>
    <n v="301"/>
    <n v="197.75"/>
    <n v="0.39649122807017545"/>
    <x v="0"/>
    <s v="Tom"/>
  </r>
  <r>
    <s v="NS-0170"/>
    <x v="3"/>
    <x v="0"/>
    <s v="Corporate"/>
    <s v="P402"/>
    <s v="Floor Lamp"/>
    <x v="2"/>
    <n v="125"/>
    <n v="5"/>
    <n v="625"/>
    <n v="0"/>
    <n v="0"/>
    <n v="625"/>
    <n v="73"/>
    <n v="365"/>
    <n v="260"/>
    <n v="0.41599999999999998"/>
    <x v="1"/>
    <s v="Daniel"/>
  </r>
  <r>
    <s v="NS-0171"/>
    <x v="88"/>
    <x v="0"/>
    <s v="Online"/>
    <s v="P201"/>
    <s v="Kettle"/>
    <x v="3"/>
    <n v="38"/>
    <n v="5"/>
    <n v="190"/>
    <n v="0.05"/>
    <n v="9.5"/>
    <n v="180.5"/>
    <n v="21"/>
    <n v="105"/>
    <n v="75.5"/>
    <n v="0.4182825484764543"/>
    <x v="0"/>
    <s v="Priya"/>
  </r>
  <r>
    <s v="NS-0172"/>
    <x v="32"/>
    <x v="2"/>
    <s v="In-Store"/>
    <s v="P303"/>
    <s v="Rug"/>
    <x v="4"/>
    <n v="145"/>
    <n v="4"/>
    <n v="580"/>
    <n v="0"/>
    <n v="0"/>
    <n v="580"/>
    <n v="88"/>
    <n v="352"/>
    <n v="228"/>
    <n v="0.39310344827586208"/>
    <x v="0"/>
    <s v="Daniel"/>
  </r>
  <r>
    <s v="NS-0173"/>
    <x v="15"/>
    <x v="1"/>
    <s v="Corporate"/>
    <s v="P303"/>
    <s v="Rug"/>
    <x v="4"/>
    <n v="145"/>
    <n v="6"/>
    <n v="870"/>
    <n v="0.05"/>
    <n v="43.5"/>
    <n v="826.5"/>
    <n v="88"/>
    <n v="528"/>
    <n v="298.5"/>
    <n v="0.36116152450090744"/>
    <x v="0"/>
    <s v="Zara"/>
  </r>
  <r>
    <s v="NS-0174"/>
    <x v="26"/>
    <x v="4"/>
    <s v="Online"/>
    <s v="P401"/>
    <s v="Table Lamp"/>
    <x v="2"/>
    <n v="62"/>
    <n v="7"/>
    <n v="434"/>
    <n v="0.05"/>
    <n v="21.700000000000003"/>
    <n v="412.3"/>
    <n v="31"/>
    <n v="217"/>
    <n v="195.3"/>
    <n v="0.47368421052631582"/>
    <x v="0"/>
    <s v="Zara"/>
  </r>
  <r>
    <s v="NS-0175"/>
    <x v="42"/>
    <x v="4"/>
    <s v="Corporate"/>
    <s v="P501"/>
    <s v="Storage Box"/>
    <x v="1"/>
    <n v="26"/>
    <n v="3"/>
    <n v="78"/>
    <n v="0.2"/>
    <n v="15.600000000000001"/>
    <n v="62.4"/>
    <n v="11"/>
    <n v="33"/>
    <n v="29.4"/>
    <n v="0.47115384615384615"/>
    <x v="0"/>
    <s v="Daniel"/>
  </r>
  <r>
    <s v="NS-0176"/>
    <x v="110"/>
    <x v="0"/>
    <s v="Online"/>
    <s v="P401"/>
    <s v="Table Lamp"/>
    <x v="2"/>
    <n v="62"/>
    <n v="2"/>
    <n v="124"/>
    <n v="0"/>
    <n v="0"/>
    <n v="124"/>
    <n v="31"/>
    <n v="62"/>
    <n v="62"/>
    <n v="0.5"/>
    <x v="0"/>
    <s v="Lewis"/>
  </r>
  <r>
    <s v="NS-0177"/>
    <x v="111"/>
    <x v="0"/>
    <s v="Corporate"/>
    <s v="P202"/>
    <s v="Cookware Set"/>
    <x v="3"/>
    <n v="110"/>
    <n v="3"/>
    <n v="330"/>
    <n v="0"/>
    <n v="0"/>
    <n v="330"/>
    <n v="65"/>
    <n v="195"/>
    <n v="135"/>
    <n v="0.40909090909090912"/>
    <x v="0"/>
    <s v="Zara"/>
  </r>
  <r>
    <s v="NS-0178"/>
    <x v="112"/>
    <x v="0"/>
    <s v="In-Store"/>
    <s v="P101"/>
    <s v="Sofa"/>
    <x v="0"/>
    <n v="420"/>
    <n v="2"/>
    <n v="840"/>
    <n v="0.05"/>
    <n v="42"/>
    <n v="798"/>
    <n v="280"/>
    <n v="560"/>
    <n v="238"/>
    <n v="0.2982456140350877"/>
    <x v="1"/>
    <s v="Daniel"/>
  </r>
  <r>
    <s v="NS-0179"/>
    <x v="33"/>
    <x v="2"/>
    <s v="In-Store"/>
    <s v="P501"/>
    <s v="Storage Box"/>
    <x v="1"/>
    <n v="26"/>
    <n v="5"/>
    <n v="130"/>
    <n v="0.05"/>
    <n v="6.5"/>
    <n v="123.5"/>
    <n v="11"/>
    <n v="55"/>
    <n v="68.5"/>
    <n v="0.55465587044534415"/>
    <x v="0"/>
    <s v="Daniel"/>
  </r>
  <r>
    <s v="NS-0180"/>
    <x v="113"/>
    <x v="4"/>
    <s v="Online"/>
    <s v="P303"/>
    <s v="Rug"/>
    <x v="4"/>
    <n v="145"/>
    <n v="5"/>
    <n v="725"/>
    <n v="0.05"/>
    <n v="36.25"/>
    <n v="688.75"/>
    <n v="88"/>
    <n v="440"/>
    <n v="248.75"/>
    <n v="0.36116152450090744"/>
    <x v="0"/>
    <s v="Priya"/>
  </r>
  <r>
    <s v="NS-0181"/>
    <x v="47"/>
    <x v="0"/>
    <s v="Corporate"/>
    <s v="P102"/>
    <s v="Dining Chair"/>
    <x v="0"/>
    <n v="95"/>
    <n v="1"/>
    <n v="95"/>
    <n v="0.05"/>
    <n v="4.75"/>
    <n v="90.25"/>
    <n v="54"/>
    <n v="54"/>
    <n v="36.25"/>
    <n v="0.40166204986149584"/>
    <x v="0"/>
    <s v="Priya"/>
  </r>
  <r>
    <s v="NS-0182"/>
    <x v="114"/>
    <x v="0"/>
    <s v="Online"/>
    <s v="P302"/>
    <s v="Wall Mirror"/>
    <x v="4"/>
    <n v="85"/>
    <n v="6"/>
    <n v="510"/>
    <n v="0.05"/>
    <n v="25.5"/>
    <n v="484.5"/>
    <n v="41"/>
    <n v="246"/>
    <n v="238.5"/>
    <n v="0.49226006191950467"/>
    <x v="0"/>
    <s v="Amira"/>
  </r>
  <r>
    <s v="NS-0183"/>
    <x v="34"/>
    <x v="2"/>
    <s v="Online"/>
    <s v="P103"/>
    <s v="Desk"/>
    <x v="0"/>
    <n v="210"/>
    <n v="4"/>
    <n v="840"/>
    <n v="0.05"/>
    <n v="42"/>
    <n v="798"/>
    <n v="132"/>
    <n v="528"/>
    <n v="270"/>
    <n v="0.33834586466165412"/>
    <x v="0"/>
    <s v="Grace"/>
  </r>
  <r>
    <s v="NS-0184"/>
    <x v="30"/>
    <x v="0"/>
    <s v="Corporate"/>
    <s v="P501"/>
    <s v="Storage Box"/>
    <x v="1"/>
    <n v="26"/>
    <n v="1"/>
    <n v="26"/>
    <n v="0.2"/>
    <n v="5.2"/>
    <n v="20.8"/>
    <n v="11"/>
    <n v="11"/>
    <n v="9.8000000000000007"/>
    <n v="0.47115384615384615"/>
    <x v="0"/>
    <s v="Grace"/>
  </r>
  <r>
    <s v="NS-0185"/>
    <x v="96"/>
    <x v="0"/>
    <s v="Corporate"/>
    <s v="P201"/>
    <s v="Kettle"/>
    <x v="3"/>
    <n v="38"/>
    <n v="3"/>
    <n v="114"/>
    <n v="0.2"/>
    <n v="22.8"/>
    <n v="91.2"/>
    <n v="21"/>
    <n v="63"/>
    <n v="28.200000000000003"/>
    <n v="0.30921052631578949"/>
    <x v="0"/>
    <s v="Amira"/>
  </r>
  <r>
    <s v="NS-0186"/>
    <x v="6"/>
    <x v="1"/>
    <s v="Corporate"/>
    <s v="P502"/>
    <s v="Shelving Unit"/>
    <x v="1"/>
    <n v="115"/>
    <n v="6"/>
    <n v="690"/>
    <n v="0.2"/>
    <n v="138"/>
    <n v="552"/>
    <n v="67"/>
    <n v="402"/>
    <n v="150"/>
    <n v="0.27173913043478259"/>
    <x v="0"/>
    <s v="Zara"/>
  </r>
  <r>
    <s v="NS-0187"/>
    <x v="6"/>
    <x v="1"/>
    <s v="Corporate"/>
    <s v="P402"/>
    <s v="Floor Lamp"/>
    <x v="2"/>
    <n v="125"/>
    <n v="3"/>
    <n v="375"/>
    <n v="0.15"/>
    <n v="56.25"/>
    <n v="318.75"/>
    <n v="73"/>
    <n v="219"/>
    <n v="99.75"/>
    <n v="0.31294117647058822"/>
    <x v="0"/>
    <s v="Tom"/>
  </r>
  <r>
    <s v="NS-0188"/>
    <x v="38"/>
    <x v="2"/>
    <s v="Corporate"/>
    <s v="P201"/>
    <s v="Kettle"/>
    <x v="3"/>
    <n v="38"/>
    <n v="2"/>
    <n v="76"/>
    <n v="0.05"/>
    <n v="3.8000000000000003"/>
    <n v="72.2"/>
    <n v="21"/>
    <n v="42"/>
    <n v="30.200000000000003"/>
    <n v="0.4182825484764543"/>
    <x v="1"/>
    <s v="Lewis"/>
  </r>
  <r>
    <s v="NS-0189"/>
    <x v="46"/>
    <x v="0"/>
    <s v="Corporate"/>
    <s v="P203"/>
    <s v="Blender"/>
    <x v="3"/>
    <n v="75"/>
    <n v="2"/>
    <n v="150"/>
    <n v="0.15"/>
    <n v="22.5"/>
    <n v="127.5"/>
    <n v="43"/>
    <n v="86"/>
    <n v="41.5"/>
    <n v="0.32549019607843138"/>
    <x v="0"/>
    <s v="Grace"/>
  </r>
  <r>
    <s v="NS-0190"/>
    <x v="115"/>
    <x v="0"/>
    <s v="Corporate"/>
    <s v="P202"/>
    <s v="Cookware Set"/>
    <x v="3"/>
    <n v="110"/>
    <n v="5"/>
    <n v="550"/>
    <n v="0.05"/>
    <n v="27.5"/>
    <n v="522.5"/>
    <n v="65"/>
    <n v="325"/>
    <n v="197.5"/>
    <n v="0.37799043062200954"/>
    <x v="0"/>
    <s v="Amira"/>
  </r>
  <r>
    <s v="NS-0191"/>
    <x v="2"/>
    <x v="1"/>
    <s v="In-Store"/>
    <s v="P303"/>
    <s v="Rug"/>
    <x v="4"/>
    <n v="145"/>
    <n v="6"/>
    <n v="870"/>
    <n v="0.1"/>
    <n v="87"/>
    <n v="783"/>
    <n v="88"/>
    <n v="528"/>
    <n v="255"/>
    <n v="0.32567049808429116"/>
    <x v="2"/>
    <s v="Grace"/>
  </r>
  <r>
    <s v="NS-0192"/>
    <x v="41"/>
    <x v="0"/>
    <s v="Corporate"/>
    <s v="P301"/>
    <s v="Cushion Set"/>
    <x v="4"/>
    <n v="32"/>
    <n v="7"/>
    <n v="224"/>
    <n v="0.1"/>
    <n v="22.400000000000002"/>
    <n v="201.6"/>
    <n v="14"/>
    <n v="98"/>
    <n v="103.6"/>
    <n v="0.51388888888888884"/>
    <x v="0"/>
    <s v="Tom"/>
  </r>
  <r>
    <s v="NS-0193"/>
    <x v="112"/>
    <x v="3"/>
    <s v="In-Store"/>
    <s v="P502"/>
    <s v="Shelving Unit"/>
    <x v="1"/>
    <n v="115"/>
    <n v="4"/>
    <n v="460"/>
    <n v="0"/>
    <n v="0"/>
    <n v="460"/>
    <n v="67"/>
    <n v="268"/>
    <n v="192"/>
    <n v="0.41739130434782606"/>
    <x v="0"/>
    <s v="Tom"/>
  </r>
  <r>
    <s v="NS-0194"/>
    <x v="116"/>
    <x v="0"/>
    <s v="Online"/>
    <s v="P301"/>
    <s v="Cushion Set"/>
    <x v="4"/>
    <n v="32"/>
    <n v="1"/>
    <n v="32"/>
    <n v="0"/>
    <n v="0"/>
    <n v="32"/>
    <n v="14"/>
    <n v="14"/>
    <n v="18"/>
    <n v="0.5625"/>
    <x v="0"/>
    <s v="Zara"/>
  </r>
  <r>
    <s v="NS-0195"/>
    <x v="80"/>
    <x v="3"/>
    <s v="Online"/>
    <s v="P202"/>
    <s v="Cookware Set"/>
    <x v="3"/>
    <n v="110"/>
    <n v="6"/>
    <n v="660"/>
    <n v="0.25"/>
    <n v="165"/>
    <n v="495"/>
    <n v="65"/>
    <n v="390"/>
    <n v="105"/>
    <n v="0.21212121212121213"/>
    <x v="0"/>
    <s v="Amira"/>
  </r>
  <r>
    <s v="NS-0196"/>
    <x v="79"/>
    <x v="2"/>
    <s v="In-Store"/>
    <s v="P102"/>
    <s v="Dining Chair"/>
    <x v="0"/>
    <n v="95"/>
    <n v="1"/>
    <n v="95"/>
    <n v="0"/>
    <n v="0"/>
    <n v="95"/>
    <n v="54"/>
    <n v="54"/>
    <n v="41"/>
    <n v="0.43157894736842106"/>
    <x v="0"/>
    <s v="Daniel"/>
  </r>
  <r>
    <s v="NS-0197"/>
    <x v="25"/>
    <x v="4"/>
    <s v="In-Store"/>
    <s v="P203"/>
    <s v="Blender"/>
    <x v="3"/>
    <n v="75"/>
    <n v="5"/>
    <n v="375"/>
    <n v="0"/>
    <n v="0"/>
    <n v="375"/>
    <n v="43"/>
    <n v="215"/>
    <n v="160"/>
    <n v="0.42666666666666669"/>
    <x v="1"/>
    <s v="Tom"/>
  </r>
  <r>
    <s v="NS-0198"/>
    <x v="54"/>
    <x v="4"/>
    <s v="Online"/>
    <s v="P502"/>
    <s v="Shelving Unit"/>
    <x v="1"/>
    <n v="115"/>
    <n v="6"/>
    <n v="690"/>
    <n v="0.05"/>
    <n v="34.5"/>
    <n v="655.5"/>
    <n v="67"/>
    <n v="402"/>
    <n v="253.5"/>
    <n v="0.38672768878718533"/>
    <x v="0"/>
    <s v="Grace"/>
  </r>
  <r>
    <s v="NS-0199"/>
    <x v="117"/>
    <x v="2"/>
    <s v="Online"/>
    <s v="P202"/>
    <s v="Cookware Set"/>
    <x v="3"/>
    <n v="110"/>
    <n v="6"/>
    <n v="660"/>
    <n v="0"/>
    <n v="0"/>
    <n v="660"/>
    <n v="65"/>
    <n v="390"/>
    <n v="270"/>
    <n v="0.40909090909090912"/>
    <x v="0"/>
    <s v="Priya"/>
  </r>
  <r>
    <s v="NS-0200"/>
    <x v="76"/>
    <x v="1"/>
    <s v="In-Store"/>
    <s v="P301"/>
    <s v="Cushion Set"/>
    <x v="4"/>
    <n v="32"/>
    <n v="4"/>
    <n v="128"/>
    <n v="0.05"/>
    <n v="6.4"/>
    <n v="121.6"/>
    <n v="14"/>
    <n v="56"/>
    <n v="65.599999999999994"/>
    <n v="0.53947368421052633"/>
    <x v="0"/>
    <s v="Grace"/>
  </r>
  <r>
    <s v="NS-0201"/>
    <x v="102"/>
    <x v="2"/>
    <s v="In-Store"/>
    <s v="P303"/>
    <s v="Rug"/>
    <x v="4"/>
    <n v="145"/>
    <n v="6"/>
    <n v="870"/>
    <n v="0"/>
    <n v="0"/>
    <n v="870"/>
    <n v="88"/>
    <n v="528"/>
    <n v="342"/>
    <n v="0.39310344827586208"/>
    <x v="0"/>
    <s v="Lewis"/>
  </r>
  <r>
    <s v="NS-0202"/>
    <x v="118"/>
    <x v="0"/>
    <s v="Online"/>
    <s v="P103"/>
    <s v="Desk"/>
    <x v="0"/>
    <n v="210"/>
    <n v="5"/>
    <n v="1050"/>
    <n v="0"/>
    <n v="0"/>
    <n v="1050"/>
    <n v="132"/>
    <n v="660"/>
    <n v="390"/>
    <n v="0.37142857142857144"/>
    <x v="0"/>
    <s v="Grace"/>
  </r>
  <r>
    <s v="NS-0203"/>
    <x v="119"/>
    <x v="4"/>
    <s v="Online"/>
    <s v="P301"/>
    <s v="Cushion Set"/>
    <x v="4"/>
    <n v="32"/>
    <n v="7"/>
    <n v="224"/>
    <n v="0.05"/>
    <n v="11.200000000000001"/>
    <n v="212.8"/>
    <n v="14"/>
    <n v="98"/>
    <n v="114.80000000000001"/>
    <n v="0.53947368421052633"/>
    <x v="0"/>
    <s v="Lewis"/>
  </r>
  <r>
    <s v="NS-0204"/>
    <x v="120"/>
    <x v="0"/>
    <s v="In-Store"/>
    <s v="P303"/>
    <s v="Rug"/>
    <x v="4"/>
    <n v="145"/>
    <n v="5"/>
    <n v="725"/>
    <n v="0"/>
    <n v="0"/>
    <n v="725"/>
    <n v="88"/>
    <n v="440"/>
    <n v="285"/>
    <n v="0.39310344827586208"/>
    <x v="0"/>
    <s v="Grace"/>
  </r>
  <r>
    <s v="NS-0205"/>
    <x v="121"/>
    <x v="3"/>
    <s v="Online"/>
    <s v="P103"/>
    <s v="Desk"/>
    <x v="0"/>
    <n v="210"/>
    <n v="7"/>
    <n v="1470"/>
    <n v="0.1"/>
    <n v="147"/>
    <n v="1323"/>
    <n v="132"/>
    <n v="924"/>
    <n v="399"/>
    <n v="0.30158730158730157"/>
    <x v="0"/>
    <s v="Priya"/>
  </r>
  <r>
    <s v="NS-0206"/>
    <x v="122"/>
    <x v="2"/>
    <s v="Online"/>
    <s v="P501"/>
    <s v="Storage Box"/>
    <x v="1"/>
    <n v="26"/>
    <n v="1"/>
    <n v="26"/>
    <n v="0"/>
    <n v="0"/>
    <n v="26"/>
    <n v="11"/>
    <n v="11"/>
    <n v="15"/>
    <n v="0.57692307692307687"/>
    <x v="0"/>
    <s v="Daniel"/>
  </r>
  <r>
    <s v="NS-0207"/>
    <x v="38"/>
    <x v="5"/>
    <s v="In-Store"/>
    <s v="P103"/>
    <s v="Desk"/>
    <x v="0"/>
    <n v="210"/>
    <n v="1"/>
    <n v="210"/>
    <n v="0.05"/>
    <n v="10.5"/>
    <n v="199.5"/>
    <n v="132"/>
    <n v="132"/>
    <n v="67.5"/>
    <n v="0.33834586466165412"/>
    <x v="0"/>
    <s v="Daniel"/>
  </r>
  <r>
    <s v="NS-0208"/>
    <x v="123"/>
    <x v="2"/>
    <s v="Online"/>
    <s v="P301"/>
    <s v="Cushion Set"/>
    <x v="4"/>
    <n v="32"/>
    <n v="4"/>
    <n v="128"/>
    <n v="0.2"/>
    <n v="25.6"/>
    <n v="102.4"/>
    <n v="14"/>
    <n v="56"/>
    <n v="46.400000000000006"/>
    <n v="0.45312500000000006"/>
    <x v="0"/>
    <s v="Tom"/>
  </r>
  <r>
    <s v="NS-0209"/>
    <x v="47"/>
    <x v="2"/>
    <s v="Corporate"/>
    <s v="P201"/>
    <s v="Kettle"/>
    <x v="3"/>
    <n v="38"/>
    <n v="3"/>
    <n v="114"/>
    <n v="0.05"/>
    <n v="5.7"/>
    <n v="108.3"/>
    <n v="21"/>
    <n v="63"/>
    <n v="45.3"/>
    <n v="0.4182825484764543"/>
    <x v="0"/>
    <s v="Lewis"/>
  </r>
  <r>
    <s v="NS-0210"/>
    <x v="15"/>
    <x v="4"/>
    <s v="Corporate"/>
    <s v="P202"/>
    <s v="Cookware Set"/>
    <x v="3"/>
    <n v="110"/>
    <n v="6"/>
    <n v="660"/>
    <n v="0.15"/>
    <n v="99"/>
    <n v="561"/>
    <n v="65"/>
    <n v="390"/>
    <n v="171"/>
    <n v="0.30481283422459893"/>
    <x v="2"/>
    <s v="Daniel"/>
  </r>
  <r>
    <s v="NS-0211"/>
    <x v="124"/>
    <x v="1"/>
    <s v="Corporate"/>
    <s v="P502"/>
    <s v="Shelving Unit"/>
    <x v="1"/>
    <n v="115"/>
    <n v="2"/>
    <n v="230"/>
    <n v="0.15"/>
    <n v="34.5"/>
    <n v="195.5"/>
    <n v="67"/>
    <n v="134"/>
    <n v="61.5"/>
    <n v="0.31457800511508949"/>
    <x v="0"/>
    <s v="Amira"/>
  </r>
  <r>
    <s v="NS-0212"/>
    <x v="4"/>
    <x v="4"/>
    <s v="In-Store"/>
    <s v="P201"/>
    <s v="Kettle"/>
    <x v="3"/>
    <n v="38"/>
    <n v="6"/>
    <n v="228"/>
    <n v="0"/>
    <n v="0"/>
    <n v="228"/>
    <n v="21"/>
    <n v="126"/>
    <n v="102"/>
    <n v="0.44736842105263158"/>
    <x v="0"/>
    <s v="Amira"/>
  </r>
  <r>
    <s v="NS-0213"/>
    <x v="37"/>
    <x v="2"/>
    <s v="Online"/>
    <s v="P201"/>
    <s v="Kettle"/>
    <x v="3"/>
    <n v="38"/>
    <n v="2"/>
    <n v="76"/>
    <n v="0.25"/>
    <n v="19"/>
    <n v="57"/>
    <n v="21"/>
    <n v="42"/>
    <n v="15"/>
    <n v="0.26315789473684209"/>
    <x v="0"/>
    <s v="Zara"/>
  </r>
  <r>
    <s v="NS-0214"/>
    <x v="37"/>
    <x v="2"/>
    <s v="Corporate"/>
    <s v="P103"/>
    <s v="Desk"/>
    <x v="0"/>
    <n v="210"/>
    <n v="3"/>
    <n v="630"/>
    <n v="0"/>
    <n v="0"/>
    <n v="630"/>
    <n v="132"/>
    <n v="396"/>
    <n v="234"/>
    <n v="0.37142857142857144"/>
    <x v="0"/>
    <s v="Tom"/>
  </r>
  <r>
    <s v="NS-0215"/>
    <x v="37"/>
    <x v="2"/>
    <s v="Corporate"/>
    <s v="P202"/>
    <s v="Cookware Set"/>
    <x v="3"/>
    <n v="110"/>
    <n v="4"/>
    <n v="440"/>
    <n v="0.15"/>
    <n v="66"/>
    <n v="374"/>
    <n v="65"/>
    <n v="260"/>
    <n v="114"/>
    <n v="0.30481283422459893"/>
    <x v="0"/>
    <s v="Grace"/>
  </r>
  <r>
    <s v="NS-0216"/>
    <x v="58"/>
    <x v="2"/>
    <s v="Online"/>
    <s v="P102"/>
    <s v="Dining Chair"/>
    <x v="0"/>
    <n v="95"/>
    <n v="5"/>
    <n v="475"/>
    <n v="0.05"/>
    <n v="23.75"/>
    <n v="451.25"/>
    <n v="54"/>
    <n v="270"/>
    <n v="181.25"/>
    <n v="0.40166204986149584"/>
    <x v="2"/>
    <s v="Daniel"/>
  </r>
  <r>
    <s v="NS-0217"/>
    <x v="125"/>
    <x v="1"/>
    <s v="Online"/>
    <s v="P301"/>
    <s v="Cushion Set"/>
    <x v="4"/>
    <n v="32"/>
    <n v="6"/>
    <n v="192"/>
    <n v="0.1"/>
    <n v="19.200000000000003"/>
    <n v="172.8"/>
    <n v="14"/>
    <n v="84"/>
    <n v="88.800000000000011"/>
    <n v="0.51388888888888895"/>
    <x v="1"/>
    <s v="Lewis"/>
  </r>
  <r>
    <s v="NS-0218"/>
    <x v="13"/>
    <x v="1"/>
    <s v="Corporate"/>
    <s v="P101"/>
    <s v="Sofa"/>
    <x v="0"/>
    <n v="420"/>
    <n v="7"/>
    <n v="2940"/>
    <n v="0.05"/>
    <n v="147"/>
    <n v="2793"/>
    <n v="280"/>
    <n v="1960"/>
    <n v="833"/>
    <n v="0.2982456140350877"/>
    <x v="0"/>
    <s v="Tom"/>
  </r>
  <r>
    <s v="NS-0219"/>
    <x v="126"/>
    <x v="4"/>
    <s v="In-Store"/>
    <s v="P101"/>
    <s v="Sofa"/>
    <x v="0"/>
    <n v="420"/>
    <n v="4"/>
    <n v="1680"/>
    <n v="0.1"/>
    <n v="168"/>
    <n v="1512"/>
    <n v="280"/>
    <n v="1120"/>
    <n v="392"/>
    <n v="0.25925925925925924"/>
    <x v="0"/>
    <s v="Grace"/>
  </r>
  <r>
    <s v="NS-0220"/>
    <x v="27"/>
    <x v="1"/>
    <s v="Corporate"/>
    <s v="P202"/>
    <s v="Cookware Set"/>
    <x v="3"/>
    <n v="110"/>
    <n v="6"/>
    <n v="660"/>
    <n v="0"/>
    <n v="0"/>
    <n v="660"/>
    <n v="65"/>
    <n v="390"/>
    <n v="270"/>
    <n v="0.40909090909090912"/>
    <x v="0"/>
    <s v="Priya"/>
  </r>
  <r>
    <s v="NS-0221"/>
    <x v="119"/>
    <x v="2"/>
    <s v="Corporate"/>
    <s v="P402"/>
    <s v="Floor Lamp"/>
    <x v="2"/>
    <n v="125"/>
    <n v="2"/>
    <n v="250"/>
    <n v="0"/>
    <n v="0"/>
    <n v="250"/>
    <n v="73"/>
    <n v="146"/>
    <n v="104"/>
    <n v="0.41599999999999998"/>
    <x v="0"/>
    <s v="Zara"/>
  </r>
  <r>
    <s v="NS-0222"/>
    <x v="127"/>
    <x v="0"/>
    <s v="Online"/>
    <s v="P102"/>
    <s v="Dining Chair"/>
    <x v="0"/>
    <n v="95"/>
    <n v="6"/>
    <n v="570"/>
    <n v="0.05"/>
    <n v="28.5"/>
    <n v="541.5"/>
    <n v="54"/>
    <n v="324"/>
    <n v="217.5"/>
    <n v="0.40166204986149584"/>
    <x v="2"/>
    <s v="Priya"/>
  </r>
  <r>
    <s v="NS-0223"/>
    <x v="128"/>
    <x v="1"/>
    <s v="Online"/>
    <s v="P101"/>
    <s v="Sofa"/>
    <x v="0"/>
    <n v="420"/>
    <n v="4"/>
    <n v="1680"/>
    <n v="0.05"/>
    <n v="84"/>
    <n v="1596"/>
    <n v="280"/>
    <n v="1120"/>
    <n v="476"/>
    <n v="0.2982456140350877"/>
    <x v="0"/>
    <s v="Grace"/>
  </r>
  <r>
    <s v="NS-0224"/>
    <x v="2"/>
    <x v="4"/>
    <s v="Corporate"/>
    <s v="P202"/>
    <s v="Cookware Set"/>
    <x v="3"/>
    <n v="110"/>
    <n v="6"/>
    <n v="660"/>
    <n v="0.25"/>
    <n v="165"/>
    <n v="495"/>
    <n v="65"/>
    <n v="390"/>
    <n v="105"/>
    <n v="0.21212121212121213"/>
    <x v="0"/>
    <s v="Amira"/>
  </r>
  <r>
    <s v="NS-0225"/>
    <x v="43"/>
    <x v="2"/>
    <s v="Corporate"/>
    <s v="P102"/>
    <s v="Dining Chair"/>
    <x v="0"/>
    <n v="95"/>
    <n v="3"/>
    <n v="285"/>
    <n v="0.15"/>
    <n v="42.75"/>
    <n v="242.25"/>
    <n v="54"/>
    <n v="162"/>
    <n v="80.25"/>
    <n v="0.33126934984520123"/>
    <x v="0"/>
    <s v="Grace"/>
  </r>
  <r>
    <s v="NS-0226"/>
    <x v="74"/>
    <x v="3"/>
    <s v="Corporate"/>
    <s v="P203"/>
    <s v="Blender"/>
    <x v="3"/>
    <n v="75"/>
    <n v="4"/>
    <n v="300"/>
    <n v="0"/>
    <n v="0"/>
    <n v="300"/>
    <n v="43"/>
    <n v="172"/>
    <n v="128"/>
    <n v="0.42666666666666669"/>
    <x v="0"/>
    <s v="Grace"/>
  </r>
  <r>
    <s v="NS-0227"/>
    <x v="78"/>
    <x v="1"/>
    <s v="Corporate"/>
    <s v="P201"/>
    <s v="Kettle"/>
    <x v="3"/>
    <n v="38"/>
    <n v="1"/>
    <n v="38"/>
    <n v="0.2"/>
    <n v="7.6000000000000005"/>
    <n v="30.4"/>
    <n v="21"/>
    <n v="21"/>
    <n v="9.3999999999999986"/>
    <n v="0.30921052631578944"/>
    <x v="0"/>
    <s v="Priya"/>
  </r>
  <r>
    <s v="NS-0228"/>
    <x v="55"/>
    <x v="0"/>
    <s v="Online"/>
    <s v="P103"/>
    <s v="Desk"/>
    <x v="0"/>
    <n v="210"/>
    <n v="4"/>
    <n v="840"/>
    <n v="0.2"/>
    <n v="168"/>
    <n v="672"/>
    <n v="132"/>
    <n v="528"/>
    <n v="144"/>
    <n v="0.21428571428571427"/>
    <x v="0"/>
    <s v="Grace"/>
  </r>
  <r>
    <s v="NS-0229"/>
    <x v="129"/>
    <x v="4"/>
    <s v="Corporate"/>
    <s v="P203"/>
    <s v="Blender"/>
    <x v="3"/>
    <n v="75"/>
    <n v="6"/>
    <n v="450"/>
    <n v="0.15"/>
    <n v="67.5"/>
    <n v="382.5"/>
    <n v="43"/>
    <n v="258"/>
    <n v="124.5"/>
    <n v="0.32549019607843138"/>
    <x v="0"/>
    <s v="Zara"/>
  </r>
  <r>
    <s v="NS-0230"/>
    <x v="15"/>
    <x v="4"/>
    <s v="Online"/>
    <s v="P402"/>
    <s v="Floor Lamp"/>
    <x v="2"/>
    <n v="125"/>
    <n v="3"/>
    <n v="375"/>
    <n v="0.15"/>
    <n v="56.25"/>
    <n v="318.75"/>
    <n v="73"/>
    <n v="219"/>
    <n v="99.75"/>
    <n v="0.31294117647058822"/>
    <x v="0"/>
    <s v="Lewis"/>
  </r>
  <r>
    <s v="NS-0231"/>
    <x v="130"/>
    <x v="3"/>
    <s v="In-Store"/>
    <s v="P103"/>
    <s v="Desk"/>
    <x v="0"/>
    <n v="210"/>
    <n v="1"/>
    <n v="210"/>
    <n v="0.05"/>
    <n v="10.5"/>
    <n v="199.5"/>
    <n v="132"/>
    <n v="132"/>
    <n v="67.5"/>
    <n v="0.33834586466165412"/>
    <x v="0"/>
    <s v="Lewis"/>
  </r>
  <r>
    <s v="NS-0232"/>
    <x v="101"/>
    <x v="2"/>
    <s v="In-Store"/>
    <s v="P401"/>
    <s v="Table Lamp"/>
    <x v="2"/>
    <n v="62"/>
    <n v="3"/>
    <n v="186"/>
    <n v="0.1"/>
    <n v="18.600000000000001"/>
    <n v="167.4"/>
    <n v="31"/>
    <n v="93"/>
    <n v="74.400000000000006"/>
    <n v="0.44444444444444448"/>
    <x v="0"/>
    <s v="Tom"/>
  </r>
  <r>
    <s v="NS-0233"/>
    <x v="106"/>
    <x v="1"/>
    <s v="In-Store"/>
    <s v="P303"/>
    <s v="Rug"/>
    <x v="4"/>
    <n v="145"/>
    <n v="3"/>
    <n v="435"/>
    <n v="0.15"/>
    <n v="65.25"/>
    <n v="369.75"/>
    <n v="88"/>
    <n v="264"/>
    <n v="105.75"/>
    <n v="0.28600405679513186"/>
    <x v="0"/>
    <s v="Amira"/>
  </r>
  <r>
    <s v="NS-0234"/>
    <x v="123"/>
    <x v="4"/>
    <s v="Corporate"/>
    <s v="P501"/>
    <s v="Storage Box"/>
    <x v="1"/>
    <n v="26"/>
    <n v="3"/>
    <n v="78"/>
    <n v="0.1"/>
    <n v="7.8000000000000007"/>
    <n v="70.2"/>
    <n v="11"/>
    <n v="33"/>
    <n v="37.200000000000003"/>
    <n v="0.52991452991452992"/>
    <x v="2"/>
    <s v="Tom"/>
  </r>
  <r>
    <s v="NS-0235"/>
    <x v="131"/>
    <x v="2"/>
    <s v="In-Store"/>
    <s v="P301"/>
    <s v="Cushion Set"/>
    <x v="4"/>
    <n v="32"/>
    <n v="1"/>
    <n v="32"/>
    <n v="0.05"/>
    <n v="1.6"/>
    <n v="30.4"/>
    <n v="14"/>
    <n v="14"/>
    <n v="16.399999999999999"/>
    <n v="0.53947368421052633"/>
    <x v="0"/>
    <s v="Lewis"/>
  </r>
  <r>
    <s v="NS-0236"/>
    <x v="118"/>
    <x v="0"/>
    <s v="Online"/>
    <s v="P201"/>
    <s v="Kettle"/>
    <x v="3"/>
    <n v="38"/>
    <n v="5"/>
    <n v="190"/>
    <n v="0.05"/>
    <n v="9.5"/>
    <n v="180.5"/>
    <n v="21"/>
    <n v="105"/>
    <n v="75.5"/>
    <n v="0.4182825484764543"/>
    <x v="2"/>
    <s v="Grace"/>
  </r>
  <r>
    <s v="NS-0237"/>
    <x v="132"/>
    <x v="2"/>
    <s v="Corporate"/>
    <s v="P203"/>
    <s v="Blender"/>
    <x v="3"/>
    <n v="75"/>
    <n v="2"/>
    <n v="150"/>
    <n v="0.05"/>
    <n v="7.5"/>
    <n v="142.5"/>
    <n v="43"/>
    <n v="86"/>
    <n v="56.5"/>
    <n v="0.39649122807017545"/>
    <x v="0"/>
    <s v="Amira"/>
  </r>
  <r>
    <s v="NS-0238"/>
    <x v="79"/>
    <x v="2"/>
    <s v="Online"/>
    <s v="P401"/>
    <s v="Table Lamp"/>
    <x v="2"/>
    <n v="62"/>
    <n v="3"/>
    <n v="186"/>
    <n v="0.2"/>
    <n v="37.200000000000003"/>
    <n v="148.80000000000001"/>
    <n v="31"/>
    <n v="93"/>
    <n v="55.800000000000011"/>
    <n v="0.37500000000000006"/>
    <x v="0"/>
    <s v="Amira"/>
  </r>
  <r>
    <s v="NS-0239"/>
    <x v="83"/>
    <x v="1"/>
    <s v="Online"/>
    <s v="P502"/>
    <s v="Shelving Unit"/>
    <x v="1"/>
    <n v="115"/>
    <n v="1"/>
    <n v="115"/>
    <n v="0"/>
    <n v="0"/>
    <n v="115"/>
    <n v="67"/>
    <n v="67"/>
    <n v="48"/>
    <n v="0.41739130434782606"/>
    <x v="0"/>
    <s v="Daniel"/>
  </r>
  <r>
    <s v="NS-0240"/>
    <x v="91"/>
    <x v="3"/>
    <s v="Online"/>
    <s v="P301"/>
    <s v="Cushion Set"/>
    <x v="4"/>
    <n v="32"/>
    <n v="4"/>
    <n v="128"/>
    <n v="0"/>
    <n v="0"/>
    <n v="128"/>
    <n v="14"/>
    <n v="56"/>
    <n v="72"/>
    <n v="0.5625"/>
    <x v="0"/>
    <s v="Lewis"/>
  </r>
  <r>
    <s v="NS-0241"/>
    <x v="4"/>
    <x v="2"/>
    <s v="Online"/>
    <s v="P203"/>
    <s v="Blender"/>
    <x v="3"/>
    <n v="75"/>
    <n v="3"/>
    <n v="225"/>
    <n v="0.15"/>
    <n v="33.75"/>
    <n v="191.25"/>
    <n v="43"/>
    <n v="129"/>
    <n v="62.25"/>
    <n v="0.32549019607843138"/>
    <x v="0"/>
    <s v="Zara"/>
  </r>
  <r>
    <s v="NS-0242"/>
    <x v="133"/>
    <x v="1"/>
    <s v="Online"/>
    <s v="P302"/>
    <s v="Wall Mirror"/>
    <x v="4"/>
    <n v="85"/>
    <n v="3"/>
    <n v="255"/>
    <n v="0.15"/>
    <n v="38.25"/>
    <n v="216.75"/>
    <n v="41"/>
    <n v="123"/>
    <n v="93.75"/>
    <n v="0.43252595155709345"/>
    <x v="0"/>
    <s v="Zara"/>
  </r>
  <r>
    <s v="NS-0243"/>
    <x v="37"/>
    <x v="0"/>
    <s v="In-Store"/>
    <s v="P501"/>
    <s v="Storage Box"/>
    <x v="1"/>
    <n v="26"/>
    <n v="5"/>
    <n v="130"/>
    <n v="0.15"/>
    <n v="19.5"/>
    <n v="110.5"/>
    <n v="11"/>
    <n v="55"/>
    <n v="55.5"/>
    <n v="0.50226244343891402"/>
    <x v="0"/>
    <s v="Priya"/>
  </r>
  <r>
    <s v="NS-0244"/>
    <x v="134"/>
    <x v="2"/>
    <s v="Online"/>
    <s v="P201"/>
    <s v="Kettle"/>
    <x v="3"/>
    <n v="38"/>
    <n v="1"/>
    <n v="38"/>
    <n v="0.05"/>
    <n v="1.9000000000000001"/>
    <n v="36.1"/>
    <n v="21"/>
    <n v="21"/>
    <n v="15.100000000000001"/>
    <n v="0.4182825484764543"/>
    <x v="0"/>
    <s v="Grace"/>
  </r>
  <r>
    <s v="NS-0245"/>
    <x v="54"/>
    <x v="0"/>
    <s v="In-Store"/>
    <s v="P401"/>
    <s v="Table Lamp"/>
    <x v="2"/>
    <n v="62"/>
    <n v="4"/>
    <n v="248"/>
    <n v="0.1"/>
    <n v="24.8"/>
    <n v="223.2"/>
    <n v="31"/>
    <n v="124"/>
    <n v="99.199999999999989"/>
    <n v="0.44444444444444442"/>
    <x v="0"/>
    <s v="Daniel"/>
  </r>
  <r>
    <s v="NS-0246"/>
    <x v="108"/>
    <x v="1"/>
    <s v="Online"/>
    <s v="P203"/>
    <s v="Blender"/>
    <x v="3"/>
    <n v="75"/>
    <n v="2"/>
    <n v="150"/>
    <n v="0"/>
    <n v="0"/>
    <n v="150"/>
    <n v="43"/>
    <n v="86"/>
    <n v="64"/>
    <n v="0.42666666666666669"/>
    <x v="1"/>
    <s v="Zara"/>
  </r>
  <r>
    <s v="NS-0247"/>
    <x v="55"/>
    <x v="4"/>
    <s v="Online"/>
    <s v="P201"/>
    <s v="Kettle"/>
    <x v="3"/>
    <n v="38"/>
    <n v="3"/>
    <n v="114"/>
    <n v="0"/>
    <n v="0"/>
    <n v="114"/>
    <n v="21"/>
    <n v="63"/>
    <n v="51"/>
    <n v="0.44736842105263158"/>
    <x v="0"/>
    <s v="Priya"/>
  </r>
  <r>
    <s v="NS-0248"/>
    <x v="135"/>
    <x v="1"/>
    <s v="Online"/>
    <s v="P301"/>
    <s v="Cushion Set"/>
    <x v="4"/>
    <n v="32"/>
    <n v="2"/>
    <n v="64"/>
    <n v="0.05"/>
    <n v="3.2"/>
    <n v="60.8"/>
    <n v="14"/>
    <n v="28"/>
    <n v="32.799999999999997"/>
    <n v="0.53947368421052633"/>
    <x v="2"/>
    <s v="Priya"/>
  </r>
  <r>
    <s v="NS-0249"/>
    <x v="63"/>
    <x v="3"/>
    <s v="In-Store"/>
    <s v="P103"/>
    <s v="Desk"/>
    <x v="0"/>
    <n v="210"/>
    <n v="7"/>
    <n v="1470"/>
    <n v="0.1"/>
    <n v="147"/>
    <n v="1323"/>
    <n v="132"/>
    <n v="924"/>
    <n v="399"/>
    <n v="0.30158730158730157"/>
    <x v="0"/>
    <s v="Daniel"/>
  </r>
  <r>
    <s v="NS-0250"/>
    <x v="107"/>
    <x v="0"/>
    <s v="Online"/>
    <s v="P501"/>
    <s v="Storage Box"/>
    <x v="1"/>
    <n v="26"/>
    <n v="4"/>
    <n v="104"/>
    <n v="0.15"/>
    <n v="15.6"/>
    <n v="88.4"/>
    <n v="11"/>
    <n v="44"/>
    <n v="44.400000000000006"/>
    <n v="0.50226244343891402"/>
    <x v="0"/>
    <s v="Priya"/>
  </r>
  <r>
    <s v="NS-0251"/>
    <x v="136"/>
    <x v="4"/>
    <s v="Online"/>
    <s v="P203"/>
    <s v="Blender"/>
    <x v="3"/>
    <n v="75"/>
    <n v="7"/>
    <n v="525"/>
    <n v="0"/>
    <n v="0"/>
    <n v="525"/>
    <n v="43"/>
    <n v="301"/>
    <n v="224"/>
    <n v="0.42666666666666669"/>
    <x v="0"/>
    <s v="Zara"/>
  </r>
  <r>
    <s v="NS-0252"/>
    <x v="68"/>
    <x v="2"/>
    <s v="Corporate"/>
    <s v="P301"/>
    <s v="Cushion Set"/>
    <x v="4"/>
    <n v="32"/>
    <n v="7"/>
    <n v="224"/>
    <n v="0.15"/>
    <n v="33.6"/>
    <n v="190.4"/>
    <n v="14"/>
    <n v="98"/>
    <n v="92.4"/>
    <n v="0.48529411764705882"/>
    <x v="0"/>
    <s v="Grace"/>
  </r>
  <r>
    <s v="NS-0253"/>
    <x v="137"/>
    <x v="0"/>
    <s v="In-Store"/>
    <s v="P402"/>
    <s v="Floor Lamp"/>
    <x v="2"/>
    <n v="125"/>
    <n v="6"/>
    <n v="750"/>
    <n v="0.05"/>
    <n v="37.5"/>
    <n v="712.5"/>
    <n v="73"/>
    <n v="438"/>
    <n v="274.5"/>
    <n v="0.38526315789473686"/>
    <x v="0"/>
    <s v="Zara"/>
  </r>
  <r>
    <s v="NS-0254"/>
    <x v="0"/>
    <x v="0"/>
    <s v="Online"/>
    <s v="P502"/>
    <s v="Shelving Unit"/>
    <x v="1"/>
    <n v="115"/>
    <n v="7"/>
    <n v="805"/>
    <n v="0.15"/>
    <n v="120.75"/>
    <n v="684.25"/>
    <n v="67"/>
    <n v="469"/>
    <n v="215.25"/>
    <n v="0.31457800511508949"/>
    <x v="0"/>
    <s v="Priya"/>
  </r>
  <r>
    <s v="NS-0255"/>
    <x v="16"/>
    <x v="2"/>
    <s v="In-Store"/>
    <s v="P203"/>
    <s v="Blender"/>
    <x v="3"/>
    <n v="75"/>
    <n v="2"/>
    <n v="150"/>
    <n v="0.05"/>
    <n v="7.5"/>
    <n v="142.5"/>
    <n v="43"/>
    <n v="86"/>
    <n v="56.5"/>
    <n v="0.39649122807017545"/>
    <x v="0"/>
    <s v="Daniel"/>
  </r>
  <r>
    <s v="NS-0256"/>
    <x v="138"/>
    <x v="4"/>
    <s v="In-Store"/>
    <s v="P303"/>
    <s v="Rug"/>
    <x v="4"/>
    <n v="145"/>
    <n v="7"/>
    <n v="1015"/>
    <n v="0.25"/>
    <n v="253.75"/>
    <n v="761.25"/>
    <n v="88"/>
    <n v="616"/>
    <n v="145.25"/>
    <n v="0.19080459770114944"/>
    <x v="0"/>
    <s v="Daniel"/>
  </r>
  <r>
    <s v="NS-0257"/>
    <x v="134"/>
    <x v="2"/>
    <s v="In-Store"/>
    <s v="P102"/>
    <s v="Dining Chair"/>
    <x v="0"/>
    <n v="95"/>
    <n v="7"/>
    <n v="665"/>
    <n v="0"/>
    <n v="0"/>
    <n v="665"/>
    <n v="54"/>
    <n v="378"/>
    <n v="287"/>
    <n v="0.43157894736842106"/>
    <x v="1"/>
    <s v="Amira"/>
  </r>
  <r>
    <s v="NS-0258"/>
    <x v="139"/>
    <x v="3"/>
    <s v="In-Store"/>
    <s v="P402"/>
    <s v="Floor Lamp"/>
    <x v="2"/>
    <n v="125"/>
    <n v="6"/>
    <n v="750"/>
    <n v="0.1"/>
    <n v="75"/>
    <n v="675"/>
    <n v="73"/>
    <n v="438"/>
    <n v="237"/>
    <n v="0.3511111111111111"/>
    <x v="0"/>
    <s v="Tom"/>
  </r>
  <r>
    <s v="NS-0259"/>
    <x v="127"/>
    <x v="3"/>
    <s v="Corporate"/>
    <s v="P203"/>
    <s v="Blender"/>
    <x v="3"/>
    <n v="75"/>
    <n v="1"/>
    <n v="75"/>
    <n v="0.05"/>
    <n v="3.75"/>
    <n v="71.25"/>
    <n v="43"/>
    <n v="43"/>
    <n v="28.25"/>
    <n v="0.39649122807017545"/>
    <x v="0"/>
    <s v="Priya"/>
  </r>
  <r>
    <s v="NS-0260"/>
    <x v="125"/>
    <x v="0"/>
    <s v="Corporate"/>
    <s v="P303"/>
    <s v="Rug"/>
    <x v="4"/>
    <n v="145"/>
    <n v="4"/>
    <n v="580"/>
    <n v="0"/>
    <n v="0"/>
    <n v="580"/>
    <n v="88"/>
    <n v="352"/>
    <n v="228"/>
    <n v="0.39310344827586208"/>
    <x v="0"/>
    <s v="Zara"/>
  </r>
  <r>
    <s v="NS-0261"/>
    <x v="45"/>
    <x v="3"/>
    <s v="Corporate"/>
    <s v="P502"/>
    <s v="Shelving Unit"/>
    <x v="1"/>
    <n v="115"/>
    <n v="6"/>
    <n v="690"/>
    <n v="0.05"/>
    <n v="34.5"/>
    <n v="655.5"/>
    <n v="67"/>
    <n v="402"/>
    <n v="253.5"/>
    <n v="0.38672768878718533"/>
    <x v="0"/>
    <s v="Zara"/>
  </r>
  <r>
    <s v="NS-0262"/>
    <x v="140"/>
    <x v="2"/>
    <s v="Online"/>
    <s v="P101"/>
    <s v="Sofa"/>
    <x v="0"/>
    <n v="420"/>
    <n v="7"/>
    <n v="2940"/>
    <n v="0.05"/>
    <n v="147"/>
    <n v="2793"/>
    <n v="280"/>
    <n v="1960"/>
    <n v="833"/>
    <n v="0.2982456140350877"/>
    <x v="0"/>
    <s v="Tom"/>
  </r>
  <r>
    <s v="NS-0263"/>
    <x v="3"/>
    <x v="2"/>
    <s v="Online"/>
    <s v="P203"/>
    <s v="Blender"/>
    <x v="3"/>
    <n v="75"/>
    <n v="4"/>
    <n v="300"/>
    <n v="0.05"/>
    <n v="15"/>
    <n v="285"/>
    <n v="43"/>
    <n v="172"/>
    <n v="113"/>
    <n v="0.39649122807017545"/>
    <x v="0"/>
    <s v="Lewis"/>
  </r>
  <r>
    <s v="NS-0264"/>
    <x v="48"/>
    <x v="0"/>
    <s v="Online"/>
    <s v="P501"/>
    <s v="Storage Box"/>
    <x v="1"/>
    <n v="26"/>
    <n v="1"/>
    <n v="26"/>
    <n v="0"/>
    <n v="0"/>
    <n v="26"/>
    <n v="11"/>
    <n v="11"/>
    <n v="15"/>
    <n v="0.57692307692307687"/>
    <x v="0"/>
    <s v="Grace"/>
  </r>
  <r>
    <s v="NS-0265"/>
    <x v="16"/>
    <x v="2"/>
    <s v="In-Store"/>
    <s v="P502"/>
    <s v="Shelving Unit"/>
    <x v="1"/>
    <n v="115"/>
    <n v="4"/>
    <n v="460"/>
    <n v="0.15"/>
    <n v="69"/>
    <n v="391"/>
    <n v="67"/>
    <n v="268"/>
    <n v="123"/>
    <n v="0.31457800511508949"/>
    <x v="0"/>
    <s v="Daniel"/>
  </r>
  <r>
    <s v="NS-0266"/>
    <x v="141"/>
    <x v="0"/>
    <s v="Corporate"/>
    <s v="P201"/>
    <s v="Kettle"/>
    <x v="3"/>
    <n v="38"/>
    <n v="2"/>
    <n v="76"/>
    <n v="0.1"/>
    <n v="7.6000000000000005"/>
    <n v="68.400000000000006"/>
    <n v="21"/>
    <n v="42"/>
    <n v="26.400000000000006"/>
    <n v="0.38596491228070179"/>
    <x v="0"/>
    <s v="Amira"/>
  </r>
  <r>
    <s v="NS-0267"/>
    <x v="142"/>
    <x v="0"/>
    <s v="Online"/>
    <s v="P103"/>
    <s v="Desk"/>
    <x v="0"/>
    <n v="210"/>
    <n v="5"/>
    <n v="1050"/>
    <n v="0"/>
    <n v="0"/>
    <n v="1050"/>
    <n v="132"/>
    <n v="660"/>
    <n v="390"/>
    <n v="0.37142857142857144"/>
    <x v="0"/>
    <s v="Priya"/>
  </r>
  <r>
    <s v="NS-0268"/>
    <x v="38"/>
    <x v="0"/>
    <s v="Corporate"/>
    <s v="P501"/>
    <s v="Storage Box"/>
    <x v="1"/>
    <n v="26"/>
    <n v="4"/>
    <n v="104"/>
    <n v="0"/>
    <n v="0"/>
    <n v="104"/>
    <n v="11"/>
    <n v="44"/>
    <n v="60"/>
    <n v="0.57692307692307687"/>
    <x v="2"/>
    <s v="Tom"/>
  </r>
  <r>
    <s v="NS-0269"/>
    <x v="42"/>
    <x v="2"/>
    <s v="Corporate"/>
    <s v="P201"/>
    <s v="Kettle"/>
    <x v="3"/>
    <n v="38"/>
    <n v="7"/>
    <n v="266"/>
    <n v="0.05"/>
    <n v="13.3"/>
    <n v="252.7"/>
    <n v="21"/>
    <n v="147"/>
    <n v="105.69999999999999"/>
    <n v="0.41828254847645424"/>
    <x v="0"/>
    <s v="Lewis"/>
  </r>
  <r>
    <s v="NS-0270"/>
    <x v="143"/>
    <x v="4"/>
    <s v="Corporate"/>
    <s v="P203"/>
    <s v="Blender"/>
    <x v="3"/>
    <n v="75"/>
    <n v="7"/>
    <n v="525"/>
    <n v="0"/>
    <n v="0"/>
    <n v="525"/>
    <n v="43"/>
    <n v="301"/>
    <n v="224"/>
    <n v="0.42666666666666669"/>
    <x v="0"/>
    <s v="Daniel"/>
  </r>
  <r>
    <s v="NS-0271"/>
    <x v="142"/>
    <x v="1"/>
    <s v="Online"/>
    <s v="P201"/>
    <s v="Kettle"/>
    <x v="3"/>
    <n v="38"/>
    <n v="5"/>
    <n v="190"/>
    <n v="0.2"/>
    <n v="38"/>
    <n v="152"/>
    <n v="21"/>
    <n v="105"/>
    <n v="47"/>
    <n v="0.30921052631578949"/>
    <x v="0"/>
    <s v="Grace"/>
  </r>
  <r>
    <s v="NS-0272"/>
    <x v="128"/>
    <x v="2"/>
    <s v="In-Store"/>
    <s v="P102"/>
    <s v="Dining Chair"/>
    <x v="0"/>
    <n v="95"/>
    <n v="1"/>
    <n v="95"/>
    <n v="0.1"/>
    <n v="9.5"/>
    <n v="85.5"/>
    <n v="54"/>
    <n v="54"/>
    <n v="31.5"/>
    <n v="0.36842105263157893"/>
    <x v="0"/>
    <s v="Grace"/>
  </r>
  <r>
    <s v="NS-0273"/>
    <x v="127"/>
    <x v="0"/>
    <s v="Corporate"/>
    <s v="P501"/>
    <s v="Storage Box"/>
    <x v="1"/>
    <n v="26"/>
    <n v="1"/>
    <n v="26"/>
    <n v="0.1"/>
    <n v="2.6"/>
    <n v="23.4"/>
    <n v="11"/>
    <n v="11"/>
    <n v="12.399999999999999"/>
    <n v="0.52991452991452992"/>
    <x v="2"/>
    <s v="Lewis"/>
  </r>
  <r>
    <s v="NS-0274"/>
    <x v="144"/>
    <x v="1"/>
    <s v="Corporate"/>
    <s v="P102"/>
    <s v="Dining Chair"/>
    <x v="0"/>
    <n v="95"/>
    <n v="7"/>
    <n v="665"/>
    <n v="0.25"/>
    <n v="166.25"/>
    <n v="498.75"/>
    <n v="54"/>
    <n v="378"/>
    <n v="120.75"/>
    <n v="0.24210526315789474"/>
    <x v="0"/>
    <s v="Tom"/>
  </r>
  <r>
    <s v="NS-0275"/>
    <x v="2"/>
    <x v="0"/>
    <s v="Corporate"/>
    <s v="P103"/>
    <s v="Desk"/>
    <x v="0"/>
    <n v="210"/>
    <n v="6"/>
    <n v="1260"/>
    <n v="0.1"/>
    <n v="126"/>
    <n v="1134"/>
    <n v="132"/>
    <n v="792"/>
    <n v="342"/>
    <n v="0.30158730158730157"/>
    <x v="0"/>
    <s v="Zara"/>
  </r>
  <r>
    <s v="NS-0276"/>
    <x v="20"/>
    <x v="0"/>
    <s v="Corporate"/>
    <s v="P303"/>
    <s v="Rug"/>
    <x v="4"/>
    <n v="145"/>
    <n v="5"/>
    <n v="725"/>
    <n v="0.05"/>
    <n v="36.25"/>
    <n v="688.75"/>
    <n v="88"/>
    <n v="440"/>
    <n v="248.75"/>
    <n v="0.36116152450090744"/>
    <x v="0"/>
    <s v="Zara"/>
  </r>
  <r>
    <s v="NS-0277"/>
    <x v="145"/>
    <x v="1"/>
    <s v="Online"/>
    <s v="P401"/>
    <s v="Table Lamp"/>
    <x v="2"/>
    <n v="62"/>
    <n v="4"/>
    <n v="248"/>
    <n v="0.1"/>
    <n v="24.8"/>
    <n v="223.2"/>
    <n v="31"/>
    <n v="124"/>
    <n v="99.199999999999989"/>
    <n v="0.44444444444444442"/>
    <x v="0"/>
    <s v="Daniel"/>
  </r>
  <r>
    <s v="NS-0278"/>
    <x v="22"/>
    <x v="2"/>
    <s v="In-Store"/>
    <s v="P401"/>
    <s v="Table Lamp"/>
    <x v="2"/>
    <n v="62"/>
    <n v="1"/>
    <n v="62"/>
    <n v="0.1"/>
    <n v="6.2"/>
    <n v="55.8"/>
    <n v="31"/>
    <n v="31"/>
    <n v="24.799999999999997"/>
    <n v="0.44444444444444442"/>
    <x v="0"/>
    <s v="Amira"/>
  </r>
  <r>
    <s v="NS-0279"/>
    <x v="17"/>
    <x v="4"/>
    <s v="In-Store"/>
    <s v="P501"/>
    <s v="Storage Box"/>
    <x v="1"/>
    <n v="26"/>
    <n v="2"/>
    <n v="52"/>
    <n v="0.1"/>
    <n v="5.2"/>
    <n v="46.8"/>
    <n v="11"/>
    <n v="22"/>
    <n v="24.799999999999997"/>
    <n v="0.52991452991452992"/>
    <x v="0"/>
    <s v="Zara"/>
  </r>
  <r>
    <s v="NS-0280"/>
    <x v="81"/>
    <x v="0"/>
    <s v="Corporate"/>
    <s v="P103"/>
    <s v="Desk"/>
    <x v="0"/>
    <n v="210"/>
    <n v="4"/>
    <n v="840"/>
    <n v="0"/>
    <n v="0"/>
    <n v="840"/>
    <n v="132"/>
    <n v="528"/>
    <n v="312"/>
    <n v="0.37142857142857144"/>
    <x v="0"/>
    <s v="Priya"/>
  </r>
  <r>
    <s v="NS-0281"/>
    <x v="115"/>
    <x v="1"/>
    <s v="Online"/>
    <s v="P202"/>
    <s v="Cookware Set"/>
    <x v="3"/>
    <n v="110"/>
    <n v="1"/>
    <n v="110"/>
    <n v="0.15"/>
    <n v="16.5"/>
    <n v="93.5"/>
    <n v="65"/>
    <n v="65"/>
    <n v="28.5"/>
    <n v="0.30481283422459893"/>
    <x v="2"/>
    <s v="Zara"/>
  </r>
  <r>
    <s v="NS-0282"/>
    <x v="24"/>
    <x v="1"/>
    <s v="Online"/>
    <s v="P302"/>
    <s v="Wall Mirror"/>
    <x v="4"/>
    <n v="85"/>
    <n v="2"/>
    <n v="170"/>
    <n v="0.05"/>
    <n v="8.5"/>
    <n v="161.5"/>
    <n v="41"/>
    <n v="82"/>
    <n v="79.5"/>
    <n v="0.49226006191950467"/>
    <x v="0"/>
    <s v="Grace"/>
  </r>
  <r>
    <s v="NS-0283"/>
    <x v="55"/>
    <x v="3"/>
    <s v="Corporate"/>
    <s v="P401"/>
    <s v="Table Lamp"/>
    <x v="2"/>
    <n v="62"/>
    <n v="2"/>
    <n v="124"/>
    <n v="0"/>
    <n v="0"/>
    <n v="124"/>
    <n v="31"/>
    <n v="62"/>
    <n v="62"/>
    <n v="0.5"/>
    <x v="0"/>
    <s v="Daniel"/>
  </r>
  <r>
    <s v="NS-0284"/>
    <x v="66"/>
    <x v="0"/>
    <s v="Corporate"/>
    <s v="P201"/>
    <s v="Kettle"/>
    <x v="3"/>
    <n v="38"/>
    <n v="1"/>
    <n v="38"/>
    <n v="0"/>
    <n v="0"/>
    <n v="38"/>
    <n v="21"/>
    <n v="21"/>
    <n v="17"/>
    <n v="0.44736842105263158"/>
    <x v="0"/>
    <s v="Zara"/>
  </r>
  <r>
    <s v="NS-0285"/>
    <x v="99"/>
    <x v="1"/>
    <s v="Online"/>
    <s v="P401"/>
    <s v="Table Lamp"/>
    <x v="2"/>
    <n v="62"/>
    <n v="5"/>
    <n v="310"/>
    <n v="0"/>
    <n v="0"/>
    <n v="310"/>
    <n v="31"/>
    <n v="155"/>
    <n v="155"/>
    <n v="0.5"/>
    <x v="0"/>
    <s v="Tom"/>
  </r>
  <r>
    <s v="NS-0286"/>
    <x v="14"/>
    <x v="3"/>
    <s v="Corporate"/>
    <s v="P103"/>
    <s v="Desk"/>
    <x v="0"/>
    <n v="210"/>
    <n v="3"/>
    <n v="630"/>
    <n v="0.05"/>
    <n v="31.5"/>
    <n v="598.5"/>
    <n v="132"/>
    <n v="396"/>
    <n v="202.5"/>
    <n v="0.33834586466165412"/>
    <x v="0"/>
    <s v="Zara"/>
  </r>
  <r>
    <s v="NS-0287"/>
    <x v="146"/>
    <x v="0"/>
    <s v="In-Store"/>
    <s v="P402"/>
    <s v="Floor Lamp"/>
    <x v="2"/>
    <n v="125"/>
    <n v="2"/>
    <n v="250"/>
    <n v="0.05"/>
    <n v="12.5"/>
    <n v="237.5"/>
    <n v="73"/>
    <n v="146"/>
    <n v="91.5"/>
    <n v="0.38526315789473686"/>
    <x v="0"/>
    <s v="Grace"/>
  </r>
  <r>
    <s v="NS-0288"/>
    <x v="147"/>
    <x v="2"/>
    <s v="Corporate"/>
    <s v="P202"/>
    <s v="Cookware Set"/>
    <x v="3"/>
    <n v="110"/>
    <n v="6"/>
    <n v="660"/>
    <n v="0.15"/>
    <n v="99"/>
    <n v="561"/>
    <n v="65"/>
    <n v="390"/>
    <n v="171"/>
    <n v="0.30481283422459893"/>
    <x v="0"/>
    <s v="Priya"/>
  </r>
  <r>
    <s v="NS-0289"/>
    <x v="148"/>
    <x v="0"/>
    <s v="Corporate"/>
    <s v="P401"/>
    <s v="Table Lamp"/>
    <x v="2"/>
    <n v="62"/>
    <n v="4"/>
    <n v="248"/>
    <m/>
    <n v="0"/>
    <n v="248"/>
    <n v="31"/>
    <n v="124"/>
    <n v="124"/>
    <n v="0.5"/>
    <x v="0"/>
    <s v="Priya"/>
  </r>
  <r>
    <s v="NS-0290"/>
    <x v="5"/>
    <x v="0"/>
    <s v="Corporate"/>
    <s v="P401"/>
    <s v="Table Lamp"/>
    <x v="2"/>
    <n v="62"/>
    <n v="3"/>
    <n v="186"/>
    <n v="0.05"/>
    <n v="9.3000000000000007"/>
    <n v="176.7"/>
    <n v="31"/>
    <n v="93"/>
    <n v="83.699999999999989"/>
    <n v="0.47368421052631576"/>
    <x v="0"/>
    <s v="Priya"/>
  </r>
  <r>
    <s v="NS-0291"/>
    <x v="146"/>
    <x v="0"/>
    <s v="Online"/>
    <s v="P303"/>
    <s v="Rug"/>
    <x v="4"/>
    <n v="145"/>
    <n v="7"/>
    <n v="1015"/>
    <n v="0.1"/>
    <n v="101.5"/>
    <n v="913.5"/>
    <n v="88"/>
    <n v="616"/>
    <n v="297.5"/>
    <n v="0.32567049808429116"/>
    <x v="0"/>
    <s v="Lewis"/>
  </r>
  <r>
    <s v="NS-0292"/>
    <x v="149"/>
    <x v="2"/>
    <s v="In-Store"/>
    <s v="P101"/>
    <s v="Sofa"/>
    <x v="0"/>
    <n v="420"/>
    <n v="1"/>
    <n v="420"/>
    <n v="0.15"/>
    <n v="63"/>
    <n v="357"/>
    <n v="280"/>
    <n v="280"/>
    <n v="77"/>
    <n v="0.21568627450980393"/>
    <x v="0"/>
    <s v="Tom"/>
  </r>
  <r>
    <s v="NS-0293"/>
    <x v="8"/>
    <x v="0"/>
    <s v="Corporate"/>
    <s v="P302"/>
    <s v="Wall Mirror"/>
    <x v="4"/>
    <n v="85"/>
    <n v="7"/>
    <n v="595"/>
    <n v="0.2"/>
    <n v="119"/>
    <n v="476"/>
    <n v="41"/>
    <n v="287"/>
    <n v="189"/>
    <n v="0.39705882352941174"/>
    <x v="2"/>
    <s v="Amira"/>
  </r>
  <r>
    <s v="NS-0294"/>
    <x v="150"/>
    <x v="4"/>
    <s v="Corporate"/>
    <s v="P402"/>
    <s v="Floor Lamp"/>
    <x v="2"/>
    <n v="125"/>
    <n v="4"/>
    <n v="500"/>
    <n v="0.1"/>
    <n v="50"/>
    <n v="450"/>
    <n v="73"/>
    <n v="292"/>
    <n v="158"/>
    <n v="0.3511111111111111"/>
    <x v="0"/>
    <s v="Daniel"/>
  </r>
  <r>
    <s v="NS-0295"/>
    <x v="151"/>
    <x v="2"/>
    <s v="Online"/>
    <s v="P202"/>
    <s v="Cookware Set"/>
    <x v="3"/>
    <n v="110"/>
    <n v="4"/>
    <n v="440"/>
    <n v="0.1"/>
    <n v="44"/>
    <n v="396"/>
    <n v="65"/>
    <n v="260"/>
    <n v="136"/>
    <n v="0.34343434343434343"/>
    <x v="0"/>
    <s v="Lewis"/>
  </r>
  <r>
    <s v="NS-0296"/>
    <x v="93"/>
    <x v="2"/>
    <s v="Online"/>
    <s v="P502"/>
    <s v="Shelving Unit"/>
    <x v="1"/>
    <n v="115"/>
    <n v="1"/>
    <n v="115"/>
    <n v="0.25"/>
    <n v="28.75"/>
    <n v="86.25"/>
    <n v="67"/>
    <n v="67"/>
    <n v="19.25"/>
    <n v="0.22318840579710145"/>
    <x v="0"/>
    <s v="Amira"/>
  </r>
  <r>
    <s v="NS-0297"/>
    <x v="37"/>
    <x v="2"/>
    <s v="In-Store"/>
    <s v="P202"/>
    <s v="Cookware Set"/>
    <x v="3"/>
    <n v="110"/>
    <n v="2"/>
    <n v="220"/>
    <n v="0"/>
    <n v="0"/>
    <n v="220"/>
    <n v="65"/>
    <n v="130"/>
    <n v="90"/>
    <n v="0.40909090909090912"/>
    <x v="0"/>
    <s v="Grace"/>
  </r>
  <r>
    <s v="NS-0298"/>
    <x v="4"/>
    <x v="2"/>
    <s v="Online"/>
    <s v="P401"/>
    <s v="Table Lamp"/>
    <x v="2"/>
    <n v="62"/>
    <n v="1"/>
    <n v="62"/>
    <n v="0"/>
    <n v="0"/>
    <n v="62"/>
    <n v="31"/>
    <n v="31"/>
    <n v="31"/>
    <n v="0.5"/>
    <x v="0"/>
    <s v="Daniel"/>
  </r>
  <r>
    <s v="NS-0299"/>
    <x v="77"/>
    <x v="0"/>
    <s v="Corporate"/>
    <s v="P303"/>
    <s v="Rug"/>
    <x v="4"/>
    <n v="145"/>
    <n v="2"/>
    <n v="290"/>
    <n v="0.2"/>
    <n v="58"/>
    <n v="232"/>
    <n v="88"/>
    <n v="176"/>
    <n v="56"/>
    <n v="0.2413793103448276"/>
    <x v="0"/>
    <s v="Lewis"/>
  </r>
  <r>
    <s v="NS-0300"/>
    <x v="77"/>
    <x v="2"/>
    <s v="In-Store"/>
    <s v="P303"/>
    <s v="Rug"/>
    <x v="4"/>
    <n v="145"/>
    <n v="5"/>
    <n v="725"/>
    <n v="0.2"/>
    <n v="145"/>
    <n v="580"/>
    <n v="88"/>
    <n v="440"/>
    <n v="140"/>
    <n v="0.2413793103448276"/>
    <x v="0"/>
    <s v="Amira"/>
  </r>
  <r>
    <s v="NS-0301"/>
    <x v="152"/>
    <x v="0"/>
    <s v="Corporate"/>
    <s v="P203"/>
    <s v="Blender"/>
    <x v="3"/>
    <n v="75"/>
    <n v="1"/>
    <n v="75"/>
    <n v="0"/>
    <n v="0"/>
    <n v="75"/>
    <n v="43"/>
    <n v="43"/>
    <n v="32"/>
    <n v="0.42666666666666669"/>
    <x v="0"/>
    <s v="Priya"/>
  </r>
  <r>
    <s v="NS-0302"/>
    <x v="15"/>
    <x v="3"/>
    <s v="In-Store"/>
    <s v="P101"/>
    <s v="Sofa"/>
    <x v="0"/>
    <n v="420"/>
    <n v="3"/>
    <n v="1260"/>
    <n v="0.15"/>
    <n v="189"/>
    <n v="1071"/>
    <n v="280"/>
    <n v="840"/>
    <n v="231"/>
    <n v="0.21568627450980393"/>
    <x v="0"/>
    <s v="Tom"/>
  </r>
  <r>
    <s v="NS-0303"/>
    <x v="132"/>
    <x v="3"/>
    <s v="Online"/>
    <s v="P201"/>
    <s v="Kettle"/>
    <x v="3"/>
    <n v="38"/>
    <n v="3"/>
    <n v="114"/>
    <n v="0.15"/>
    <n v="17.099999999999998"/>
    <n v="96.9"/>
    <n v="21"/>
    <n v="63"/>
    <n v="33.900000000000006"/>
    <n v="0.34984520123839014"/>
    <x v="0"/>
    <s v="Zara"/>
  </r>
  <r>
    <s v="NS-0304"/>
    <x v="128"/>
    <x v="4"/>
    <s v="Corporate"/>
    <s v="P502"/>
    <s v="Shelving Unit"/>
    <x v="1"/>
    <n v="115"/>
    <n v="6"/>
    <n v="690"/>
    <n v="0.1"/>
    <n v="69"/>
    <n v="621"/>
    <n v="67"/>
    <n v="402"/>
    <n v="219"/>
    <n v="0.35265700483091789"/>
    <x v="0"/>
    <s v="Lewis"/>
  </r>
  <r>
    <s v="NS-0305"/>
    <x v="126"/>
    <x v="2"/>
    <s v="Corporate"/>
    <s v="P102"/>
    <s v="Dining Chair"/>
    <x v="0"/>
    <n v="95"/>
    <n v="2"/>
    <n v="190"/>
    <n v="0.2"/>
    <n v="38"/>
    <n v="152"/>
    <n v="54"/>
    <n v="108"/>
    <n v="44"/>
    <n v="0.28947368421052633"/>
    <x v="0"/>
    <s v="Lewis"/>
  </r>
  <r>
    <s v="NS-0306"/>
    <x v="98"/>
    <x v="1"/>
    <s v="Corporate"/>
    <s v="P301"/>
    <s v="Cushion Set"/>
    <x v="4"/>
    <n v="32"/>
    <n v="1"/>
    <n v="32"/>
    <n v="0"/>
    <n v="0"/>
    <n v="32"/>
    <n v="14"/>
    <n v="14"/>
    <n v="18"/>
    <n v="0.5625"/>
    <x v="0"/>
    <s v="Tom"/>
  </r>
  <r>
    <s v="NS-0307"/>
    <x v="153"/>
    <x v="2"/>
    <s v="In-Store"/>
    <s v="P103"/>
    <s v="Desk"/>
    <x v="0"/>
    <n v="210"/>
    <n v="6"/>
    <n v="1260"/>
    <n v="0.1"/>
    <n v="126"/>
    <n v="1134"/>
    <n v="132"/>
    <n v="792"/>
    <n v="342"/>
    <n v="0.30158730158730157"/>
    <x v="0"/>
    <s v="Daniel"/>
  </r>
  <r>
    <s v="NS-0308"/>
    <x v="131"/>
    <x v="3"/>
    <s v="In-Store"/>
    <s v="P501"/>
    <s v="Storage Box"/>
    <x v="1"/>
    <n v="26"/>
    <n v="1"/>
    <n v="26"/>
    <n v="0"/>
    <n v="0"/>
    <n v="26"/>
    <n v="11"/>
    <n v="11"/>
    <n v="15"/>
    <n v="0.57692307692307687"/>
    <x v="0"/>
    <s v="Daniel"/>
  </r>
  <r>
    <s v="NS-0309"/>
    <x v="25"/>
    <x v="1"/>
    <s v="Online"/>
    <s v="P103"/>
    <s v="Desk"/>
    <x v="0"/>
    <n v="210"/>
    <n v="4"/>
    <n v="840"/>
    <n v="0"/>
    <n v="0"/>
    <n v="840"/>
    <n v="132"/>
    <n v="528"/>
    <n v="312"/>
    <n v="0.37142857142857144"/>
    <x v="0"/>
    <s v="Lewis"/>
  </r>
  <r>
    <s v="NS-0310"/>
    <x v="154"/>
    <x v="3"/>
    <s v="In-Store"/>
    <s v="P501"/>
    <s v="Storage Box"/>
    <x v="1"/>
    <n v="26"/>
    <n v="4"/>
    <n v="104"/>
    <n v="0.1"/>
    <n v="10.4"/>
    <n v="93.6"/>
    <n v="11"/>
    <n v="44"/>
    <n v="49.599999999999994"/>
    <n v="0.52991452991452992"/>
    <x v="0"/>
    <s v="Lewis"/>
  </r>
  <r>
    <s v="NS-0311"/>
    <x v="3"/>
    <x v="0"/>
    <s v="Online"/>
    <s v="P301"/>
    <s v="Cushion Set"/>
    <x v="4"/>
    <n v="32"/>
    <n v="7"/>
    <n v="224"/>
    <n v="0.05"/>
    <n v="11.200000000000001"/>
    <n v="212.8"/>
    <n v="14"/>
    <n v="98"/>
    <n v="114.80000000000001"/>
    <n v="0.53947368421052633"/>
    <x v="0"/>
    <s v="Daniel"/>
  </r>
  <r>
    <s v="NS-0312"/>
    <x v="97"/>
    <x v="2"/>
    <s v="Online"/>
    <s v="P202"/>
    <s v="Cookware Set"/>
    <x v="3"/>
    <n v="110"/>
    <n v="1"/>
    <n v="110"/>
    <n v="0"/>
    <n v="0"/>
    <n v="110"/>
    <n v="65"/>
    <n v="65"/>
    <n v="45"/>
    <n v="0.40909090909090912"/>
    <x v="1"/>
    <s v="Zara"/>
  </r>
  <r>
    <s v="NS-0313"/>
    <x v="22"/>
    <x v="2"/>
    <s v="Corporate"/>
    <s v="P203"/>
    <s v="Blender"/>
    <x v="3"/>
    <n v="75"/>
    <n v="5"/>
    <n v="375"/>
    <n v="0.05"/>
    <n v="18.75"/>
    <n v="356.25"/>
    <n v="43"/>
    <n v="215"/>
    <n v="141.25"/>
    <n v="0.39649122807017545"/>
    <x v="0"/>
    <s v="Daniel"/>
  </r>
  <r>
    <s v="NS-0314"/>
    <x v="121"/>
    <x v="0"/>
    <s v="In-Store"/>
    <s v="P402"/>
    <s v="Floor Lamp"/>
    <x v="2"/>
    <n v="125"/>
    <n v="6"/>
    <n v="750"/>
    <n v="0.1"/>
    <n v="75"/>
    <n v="675"/>
    <n v="73"/>
    <n v="438"/>
    <n v="237"/>
    <n v="0.3511111111111111"/>
    <x v="0"/>
    <s v="Zara"/>
  </r>
  <r>
    <s v="NS-0315"/>
    <x v="120"/>
    <x v="2"/>
    <s v="In-Store"/>
    <s v="P502"/>
    <s v="Shelving Unit"/>
    <x v="1"/>
    <n v="115"/>
    <n v="2"/>
    <n v="230"/>
    <n v="0.15"/>
    <n v="34.5"/>
    <n v="195.5"/>
    <n v="67"/>
    <n v="134"/>
    <n v="61.5"/>
    <n v="0.31457800511508949"/>
    <x v="0"/>
    <s v="Amira"/>
  </r>
  <r>
    <s v="NS-0316"/>
    <x v="70"/>
    <x v="1"/>
    <s v="Corporate"/>
    <s v="P302"/>
    <s v="Wall Mirror"/>
    <x v="4"/>
    <n v="85"/>
    <n v="4"/>
    <n v="340"/>
    <n v="0.1"/>
    <n v="34"/>
    <n v="306"/>
    <n v="41"/>
    <n v="164"/>
    <n v="142"/>
    <n v="0.46405228758169936"/>
    <x v="0"/>
    <s v="Tom"/>
  </r>
  <r>
    <s v="NS-0317"/>
    <x v="152"/>
    <x v="1"/>
    <s v="Corporate"/>
    <s v="P502"/>
    <s v="Shelving Unit"/>
    <x v="1"/>
    <n v="115"/>
    <n v="6"/>
    <n v="690"/>
    <n v="0.1"/>
    <n v="69"/>
    <n v="621"/>
    <n v="67"/>
    <n v="402"/>
    <n v="219"/>
    <n v="0.35265700483091789"/>
    <x v="0"/>
    <s v="Priya"/>
  </r>
  <r>
    <s v="NS-0318"/>
    <x v="114"/>
    <x v="0"/>
    <s v="Corporate"/>
    <s v="P302"/>
    <s v="Wall Mirror"/>
    <x v="4"/>
    <n v="85"/>
    <n v="1"/>
    <n v="85"/>
    <n v="0"/>
    <n v="0"/>
    <n v="85"/>
    <n v="41"/>
    <n v="41"/>
    <n v="44"/>
    <n v="0.51764705882352946"/>
    <x v="0"/>
    <s v="Daniel"/>
  </r>
  <r>
    <s v="NS-0319"/>
    <x v="144"/>
    <x v="3"/>
    <s v="In-Store"/>
    <s v="P302"/>
    <s v="Wall Mirror"/>
    <x v="4"/>
    <n v="85"/>
    <n v="3"/>
    <n v="255"/>
    <n v="0"/>
    <n v="0"/>
    <n v="255"/>
    <n v="41"/>
    <n v="123"/>
    <n v="132"/>
    <n v="0.51764705882352946"/>
    <x v="0"/>
    <s v="Priya"/>
  </r>
  <r>
    <s v="NS-0320"/>
    <x v="155"/>
    <x v="0"/>
    <s v="In-Store"/>
    <s v="P203"/>
    <s v="Blender"/>
    <x v="3"/>
    <n v="75"/>
    <n v="5"/>
    <n v="375"/>
    <n v="0.2"/>
    <n v="75"/>
    <n v="300"/>
    <n v="43"/>
    <n v="215"/>
    <n v="85"/>
    <n v="0.28333333333333333"/>
    <x v="0"/>
    <s v="Gra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83C93-DB89-40D9-AC12-98B94189A56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G32" firstHeaderRow="0" firstDataRow="1" firstDataCol="1" rowPageCount="1" colPageCount="1"/>
  <pivotFields count="21">
    <pivotField showAll="0"/>
    <pivotField numFmtId="165" showAll="0">
      <items count="157">
        <item x="144"/>
        <item x="80"/>
        <item x="136"/>
        <item x="2"/>
        <item x="84"/>
        <item x="26"/>
        <item x="17"/>
        <item x="116"/>
        <item x="37"/>
        <item x="10"/>
        <item x="98"/>
        <item x="92"/>
        <item x="69"/>
        <item x="89"/>
        <item x="109"/>
        <item x="112"/>
        <item x="103"/>
        <item x="47"/>
        <item x="111"/>
        <item x="99"/>
        <item x="48"/>
        <item x="126"/>
        <item x="54"/>
        <item x="121"/>
        <item x="133"/>
        <item x="107"/>
        <item x="39"/>
        <item x="11"/>
        <item x="82"/>
        <item x="108"/>
        <item x="153"/>
        <item x="102"/>
        <item x="7"/>
        <item x="33"/>
        <item x="36"/>
        <item x="43"/>
        <item x="49"/>
        <item x="65"/>
        <item x="73"/>
        <item x="46"/>
        <item x="18"/>
        <item x="152"/>
        <item x="61"/>
        <item x="60"/>
        <item x="16"/>
        <item x="42"/>
        <item x="114"/>
        <item x="117"/>
        <item x="79"/>
        <item x="50"/>
        <item x="67"/>
        <item x="8"/>
        <item x="52"/>
        <item x="105"/>
        <item x="155"/>
        <item x="146"/>
        <item x="148"/>
        <item x="35"/>
        <item x="100"/>
        <item x="20"/>
        <item x="64"/>
        <item x="88"/>
        <item x="44"/>
        <item x="1"/>
        <item x="9"/>
        <item x="4"/>
        <item x="124"/>
        <item x="62"/>
        <item x="101"/>
        <item x="122"/>
        <item x="29"/>
        <item x="32"/>
        <item x="6"/>
        <item x="145"/>
        <item x="129"/>
        <item x="53"/>
        <item x="94"/>
        <item x="137"/>
        <item x="51"/>
        <item x="19"/>
        <item x="123"/>
        <item x="110"/>
        <item x="96"/>
        <item x="28"/>
        <item x="30"/>
        <item x="90"/>
        <item x="0"/>
        <item x="140"/>
        <item x="119"/>
        <item x="72"/>
        <item x="59"/>
        <item x="56"/>
        <item x="131"/>
        <item x="138"/>
        <item x="13"/>
        <item x="55"/>
        <item x="149"/>
        <item x="87"/>
        <item x="58"/>
        <item x="14"/>
        <item x="86"/>
        <item x="83"/>
        <item x="130"/>
        <item x="31"/>
        <item x="91"/>
        <item x="22"/>
        <item x="135"/>
        <item x="147"/>
        <item x="142"/>
        <item x="74"/>
        <item x="23"/>
        <item x="113"/>
        <item x="125"/>
        <item x="57"/>
        <item x="63"/>
        <item x="106"/>
        <item x="134"/>
        <item x="120"/>
        <item x="115"/>
        <item x="24"/>
        <item x="139"/>
        <item x="141"/>
        <item x="128"/>
        <item x="27"/>
        <item x="75"/>
        <item x="127"/>
        <item x="40"/>
        <item x="151"/>
        <item x="78"/>
        <item x="25"/>
        <item x="132"/>
        <item x="21"/>
        <item x="118"/>
        <item x="12"/>
        <item x="71"/>
        <item x="70"/>
        <item x="34"/>
        <item x="41"/>
        <item x="81"/>
        <item x="77"/>
        <item x="150"/>
        <item x="68"/>
        <item x="104"/>
        <item x="76"/>
        <item x="3"/>
        <item x="45"/>
        <item x="15"/>
        <item x="5"/>
        <item x="85"/>
        <item x="66"/>
        <item x="97"/>
        <item x="93"/>
        <item x="38"/>
        <item x="95"/>
        <item x="143"/>
        <item x="154"/>
        <item t="default"/>
      </items>
    </pivotField>
    <pivotField showAll="0"/>
    <pivotField showAll="0"/>
    <pivotField showAll="0"/>
    <pivotField showAll="0"/>
    <pivotField axis="axisRow" showAll="0" sortType="descending">
      <items count="6">
        <item x="0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showAll="0"/>
    <pivotField dataField="1" numFmtId="2" showAll="0"/>
    <pivotField dataField="1" numFmtId="2" showAll="0"/>
    <pivotField numFmtId="2" showAll="0"/>
    <pivotField dataField="1" numFmtId="2" showAll="0"/>
    <pivotField dataField="1" numFmtId="2" showAll="0"/>
    <pivotField numFmtId="10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 v="1"/>
    </i>
    <i>
      <x/>
    </i>
    <i>
      <x v="2"/>
    </i>
    <i>
      <x v="4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7" item="1" hier="-1"/>
  </pageFields>
  <dataFields count="6">
    <dataField name="Sum of Quantity" fld="8" baseField="0" baseItem="0"/>
    <dataField name="Sum of Gross_Sales" fld="9" baseField="0" baseItem="0"/>
    <dataField name="Sum of Discount_Amt" fld="11" baseField="0" baseItem="0" numFmtId="2"/>
    <dataField name="Sum of Net_Sales" fld="12" baseField="0" baseItem="0" numFmtId="2"/>
    <dataField name="Sum of Total_Cost" fld="14" baseField="0" baseItem="0" numFmtId="2"/>
    <dataField name="Sum of Gross_profit" fld="1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5D419-0413-421B-9FAA-1518F5C142D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5:C21" firstHeaderRow="0" firstDataRow="1" firstDataCol="1" rowPageCount="1" colPageCount="1"/>
  <pivotFields count="21">
    <pivotField showAll="0"/>
    <pivotField numFmtId="165" showAll="0">
      <items count="157">
        <item x="144"/>
        <item x="80"/>
        <item x="136"/>
        <item x="2"/>
        <item x="84"/>
        <item x="26"/>
        <item x="17"/>
        <item x="116"/>
        <item x="37"/>
        <item x="10"/>
        <item x="98"/>
        <item x="92"/>
        <item x="69"/>
        <item x="89"/>
        <item x="109"/>
        <item x="112"/>
        <item x="103"/>
        <item x="47"/>
        <item x="111"/>
        <item x="99"/>
        <item x="48"/>
        <item x="126"/>
        <item x="54"/>
        <item x="121"/>
        <item x="133"/>
        <item x="107"/>
        <item x="39"/>
        <item x="11"/>
        <item x="82"/>
        <item x="108"/>
        <item x="153"/>
        <item x="102"/>
        <item x="7"/>
        <item x="33"/>
        <item x="36"/>
        <item x="43"/>
        <item x="49"/>
        <item x="65"/>
        <item x="73"/>
        <item x="46"/>
        <item x="18"/>
        <item x="152"/>
        <item x="61"/>
        <item x="60"/>
        <item x="16"/>
        <item x="42"/>
        <item x="114"/>
        <item x="117"/>
        <item x="79"/>
        <item x="50"/>
        <item x="67"/>
        <item x="8"/>
        <item x="52"/>
        <item x="105"/>
        <item x="155"/>
        <item x="146"/>
        <item x="148"/>
        <item x="35"/>
        <item x="100"/>
        <item x="20"/>
        <item x="64"/>
        <item x="88"/>
        <item x="44"/>
        <item x="1"/>
        <item x="9"/>
        <item x="4"/>
        <item x="124"/>
        <item x="62"/>
        <item x="101"/>
        <item x="122"/>
        <item x="29"/>
        <item x="32"/>
        <item x="6"/>
        <item x="145"/>
        <item x="129"/>
        <item x="53"/>
        <item x="94"/>
        <item x="137"/>
        <item x="51"/>
        <item x="19"/>
        <item x="123"/>
        <item x="110"/>
        <item x="96"/>
        <item x="28"/>
        <item x="30"/>
        <item x="90"/>
        <item x="0"/>
        <item x="140"/>
        <item x="119"/>
        <item x="72"/>
        <item x="59"/>
        <item x="56"/>
        <item x="131"/>
        <item x="138"/>
        <item x="13"/>
        <item x="55"/>
        <item x="149"/>
        <item x="87"/>
        <item x="58"/>
        <item x="14"/>
        <item x="86"/>
        <item x="83"/>
        <item x="130"/>
        <item x="31"/>
        <item x="91"/>
        <item x="22"/>
        <item x="135"/>
        <item x="147"/>
        <item x="142"/>
        <item x="74"/>
        <item x="23"/>
        <item x="113"/>
        <item x="125"/>
        <item x="57"/>
        <item x="63"/>
        <item x="106"/>
        <item x="134"/>
        <item x="120"/>
        <item x="115"/>
        <item x="24"/>
        <item x="139"/>
        <item x="141"/>
        <item x="128"/>
        <item x="27"/>
        <item x="75"/>
        <item x="127"/>
        <item x="40"/>
        <item x="151"/>
        <item x="78"/>
        <item x="25"/>
        <item x="132"/>
        <item x="21"/>
        <item x="118"/>
        <item x="12"/>
        <item x="71"/>
        <item x="70"/>
        <item x="34"/>
        <item x="41"/>
        <item x="81"/>
        <item x="77"/>
        <item x="150"/>
        <item x="68"/>
        <item x="104"/>
        <item x="76"/>
        <item x="3"/>
        <item x="45"/>
        <item x="15"/>
        <item x="5"/>
        <item x="85"/>
        <item x="66"/>
        <item x="97"/>
        <item x="93"/>
        <item x="38"/>
        <item x="95"/>
        <item x="143"/>
        <item x="154"/>
        <item t="default"/>
      </items>
    </pivotField>
    <pivotField showAll="0"/>
    <pivotField showAll="0"/>
    <pivotField showAll="0"/>
    <pivotField showAll="0"/>
    <pivotField axis="axisRow" showAll="0" sortType="descending">
      <items count="6">
        <item x="0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2" showAll="0"/>
    <pivotField dataField="1" numFmtId="2" showAll="0"/>
    <pivotField numFmtId="2" showAll="0"/>
    <pivotField numFmtId="2" showAll="0"/>
    <pivotField dataField="1" numFmtId="2" showAll="0"/>
    <pivotField numFmtId="10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17" item="1" hier="-1"/>
  </pageFields>
  <dataFields count="2">
    <dataField name="Sum of Net_Sales" fld="12" baseField="0" baseItem="0" numFmtId="2"/>
    <dataField name="Sum of Gross_profit" fld="15" baseField="0" baseItem="0" numFmtId="2"/>
  </dataFields>
  <chartFormats count="2"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3B5B9-FB0C-45EA-8C3D-56BCA6EE4C2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 rowPageCount="1" colPageCount="1"/>
  <pivotFields count="21">
    <pivotField showAll="0"/>
    <pivotField numFmtId="165" showAll="0">
      <items count="157">
        <item x="144"/>
        <item x="80"/>
        <item x="136"/>
        <item x="2"/>
        <item x="84"/>
        <item x="26"/>
        <item x="17"/>
        <item x="116"/>
        <item x="37"/>
        <item x="10"/>
        <item x="98"/>
        <item x="92"/>
        <item x="69"/>
        <item x="89"/>
        <item x="109"/>
        <item x="112"/>
        <item x="103"/>
        <item x="47"/>
        <item x="111"/>
        <item x="99"/>
        <item x="48"/>
        <item x="126"/>
        <item x="54"/>
        <item x="121"/>
        <item x="133"/>
        <item x="107"/>
        <item x="39"/>
        <item x="11"/>
        <item x="82"/>
        <item x="108"/>
        <item x="153"/>
        <item x="102"/>
        <item x="7"/>
        <item x="33"/>
        <item x="36"/>
        <item x="43"/>
        <item x="49"/>
        <item x="65"/>
        <item x="73"/>
        <item x="46"/>
        <item x="18"/>
        <item x="152"/>
        <item x="61"/>
        <item x="60"/>
        <item x="16"/>
        <item x="42"/>
        <item x="114"/>
        <item x="117"/>
        <item x="79"/>
        <item x="50"/>
        <item x="67"/>
        <item x="8"/>
        <item x="52"/>
        <item x="105"/>
        <item x="155"/>
        <item x="146"/>
        <item x="148"/>
        <item x="35"/>
        <item x="100"/>
        <item x="20"/>
        <item x="64"/>
        <item x="88"/>
        <item x="44"/>
        <item x="1"/>
        <item x="9"/>
        <item x="4"/>
        <item x="124"/>
        <item x="62"/>
        <item x="101"/>
        <item x="122"/>
        <item x="29"/>
        <item x="32"/>
        <item x="6"/>
        <item x="145"/>
        <item x="129"/>
        <item x="53"/>
        <item x="94"/>
        <item x="137"/>
        <item x="51"/>
        <item x="19"/>
        <item x="123"/>
        <item x="110"/>
        <item x="96"/>
        <item x="28"/>
        <item x="30"/>
        <item x="90"/>
        <item x="0"/>
        <item x="140"/>
        <item x="119"/>
        <item x="72"/>
        <item x="59"/>
        <item x="56"/>
        <item x="131"/>
        <item x="138"/>
        <item x="13"/>
        <item x="55"/>
        <item x="149"/>
        <item x="87"/>
        <item x="58"/>
        <item x="14"/>
        <item x="86"/>
        <item x="83"/>
        <item x="130"/>
        <item x="31"/>
        <item x="91"/>
        <item x="22"/>
        <item x="135"/>
        <item x="147"/>
        <item x="142"/>
        <item x="74"/>
        <item x="23"/>
        <item x="113"/>
        <item x="125"/>
        <item x="57"/>
        <item x="63"/>
        <item x="106"/>
        <item x="134"/>
        <item x="120"/>
        <item x="115"/>
        <item x="24"/>
        <item x="139"/>
        <item x="141"/>
        <item x="128"/>
        <item x="27"/>
        <item x="75"/>
        <item x="127"/>
        <item x="40"/>
        <item x="151"/>
        <item x="78"/>
        <item x="25"/>
        <item x="132"/>
        <item x="21"/>
        <item x="118"/>
        <item x="12"/>
        <item x="71"/>
        <item x="70"/>
        <item x="34"/>
        <item x="41"/>
        <item x="81"/>
        <item x="77"/>
        <item x="150"/>
        <item x="68"/>
        <item x="104"/>
        <item x="76"/>
        <item x="3"/>
        <item x="45"/>
        <item x="15"/>
        <item x="5"/>
        <item x="85"/>
        <item x="66"/>
        <item x="97"/>
        <item x="93"/>
        <item x="38"/>
        <item x="95"/>
        <item x="143"/>
        <item x="154"/>
        <item t="default"/>
      </items>
    </pivotField>
    <pivotField axis="axisRow" showAll="0" sortType="ascending">
      <items count="7">
        <item x="0"/>
        <item x="3"/>
        <item x="1"/>
        <item h="1" x="5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numFmtId="2" showAll="0"/>
    <pivotField numFmtId="2" showAll="0"/>
    <pivotField numFmtId="2" showAll="0"/>
    <pivotField numFmtId="10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 v="5"/>
    </i>
    <i>
      <x/>
    </i>
    <i>
      <x v="1"/>
    </i>
    <i>
      <x v="2"/>
    </i>
    <i>
      <x v="4"/>
    </i>
    <i t="grand">
      <x/>
    </i>
  </rowItems>
  <colItems count="1">
    <i/>
  </colItems>
  <pageFields count="1">
    <pageField fld="17" item="1" hier="-1"/>
  </pageFields>
  <dataFields count="1">
    <dataField name="Sum of Net_Sales" fld="12" baseField="0" baseItem="0" numFmtId="2"/>
  </dataField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E4B3E-7CB9-4898-BFD6-AED50CB84D5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7:D54" firstHeaderRow="1" firstDataRow="2" firstDataCol="1" rowPageCount="1" colPageCount="1"/>
  <pivotFields count="21">
    <pivotField showAll="0"/>
    <pivotField numFmtId="165" showAll="0">
      <items count="157">
        <item x="144"/>
        <item x="80"/>
        <item x="136"/>
        <item x="2"/>
        <item x="84"/>
        <item x="26"/>
        <item x="17"/>
        <item x="116"/>
        <item x="37"/>
        <item x="10"/>
        <item x="98"/>
        <item x="92"/>
        <item x="69"/>
        <item x="89"/>
        <item x="109"/>
        <item x="112"/>
        <item x="103"/>
        <item x="47"/>
        <item x="111"/>
        <item x="99"/>
        <item x="48"/>
        <item x="126"/>
        <item x="54"/>
        <item x="121"/>
        <item x="133"/>
        <item x="107"/>
        <item x="39"/>
        <item x="11"/>
        <item x="82"/>
        <item x="108"/>
        <item x="153"/>
        <item x="102"/>
        <item x="7"/>
        <item x="33"/>
        <item x="36"/>
        <item x="43"/>
        <item x="49"/>
        <item x="65"/>
        <item x="73"/>
        <item x="46"/>
        <item x="18"/>
        <item x="152"/>
        <item x="61"/>
        <item x="60"/>
        <item x="16"/>
        <item x="42"/>
        <item x="114"/>
        <item x="117"/>
        <item x="79"/>
        <item x="50"/>
        <item x="67"/>
        <item x="8"/>
        <item x="52"/>
        <item x="105"/>
        <item x="155"/>
        <item x="146"/>
        <item x="148"/>
        <item x="35"/>
        <item x="100"/>
        <item x="20"/>
        <item x="64"/>
        <item x="88"/>
        <item x="44"/>
        <item x="1"/>
        <item x="9"/>
        <item x="4"/>
        <item x="124"/>
        <item x="62"/>
        <item x="101"/>
        <item x="122"/>
        <item x="29"/>
        <item x="32"/>
        <item x="6"/>
        <item x="145"/>
        <item x="129"/>
        <item x="53"/>
        <item x="94"/>
        <item x="137"/>
        <item x="51"/>
        <item x="19"/>
        <item x="123"/>
        <item x="110"/>
        <item x="96"/>
        <item x="28"/>
        <item x="30"/>
        <item x="90"/>
        <item x="0"/>
        <item x="140"/>
        <item x="119"/>
        <item x="72"/>
        <item x="59"/>
        <item x="56"/>
        <item x="131"/>
        <item x="138"/>
        <item x="13"/>
        <item x="55"/>
        <item x="149"/>
        <item x="87"/>
        <item x="58"/>
        <item x="14"/>
        <item x="86"/>
        <item x="83"/>
        <item x="130"/>
        <item x="31"/>
        <item x="91"/>
        <item x="22"/>
        <item x="135"/>
        <item x="147"/>
        <item x="142"/>
        <item x="74"/>
        <item x="23"/>
        <item x="113"/>
        <item x="125"/>
        <item x="57"/>
        <item x="63"/>
        <item x="106"/>
        <item x="134"/>
        <item x="120"/>
        <item x="115"/>
        <item x="24"/>
        <item x="139"/>
        <item x="141"/>
        <item x="128"/>
        <item x="27"/>
        <item x="75"/>
        <item x="127"/>
        <item x="40"/>
        <item x="151"/>
        <item x="78"/>
        <item x="25"/>
        <item x="132"/>
        <item x="21"/>
        <item x="118"/>
        <item x="12"/>
        <item x="71"/>
        <item x="70"/>
        <item x="34"/>
        <item x="41"/>
        <item x="81"/>
        <item x="77"/>
        <item x="150"/>
        <item x="68"/>
        <item x="104"/>
        <item x="76"/>
        <item x="3"/>
        <item x="45"/>
        <item x="15"/>
        <item x="5"/>
        <item x="85"/>
        <item x="66"/>
        <item x="97"/>
        <item x="93"/>
        <item x="38"/>
        <item x="95"/>
        <item x="143"/>
        <item x="154"/>
        <item t="default"/>
      </items>
    </pivotField>
    <pivotField showAll="0"/>
    <pivotField showAll="0"/>
    <pivotField showAll="0"/>
    <pivotField showAll="0"/>
    <pivotField axis="axisRow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numFmtId="2" showAll="0"/>
    <pivotField dataField="1" numFmtId="2" showAll="0"/>
    <pivotField numFmtId="2" showAll="0"/>
    <pivotField numFmtId="2" showAll="0"/>
    <pivotField numFmtId="2" showAll="0"/>
    <pivotField numFmtId="10" showAll="0"/>
    <pivotField axis="axisPage" showAll="0">
      <items count="4">
        <item x="1"/>
        <item x="0"/>
        <item x="2"/>
        <item t="default"/>
      </items>
    </pivotField>
    <pivotField showAl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axis="axisCol" showAll="0" defaultSubtotal="0">
      <items count="14">
        <item h="1" x="0"/>
        <item h="1" x="1"/>
        <item h="1" x="2"/>
        <item h="1" x="3"/>
        <item h="1" x="4"/>
        <item x="5"/>
        <item x="6"/>
        <item h="1" x="7"/>
        <item h="1" x="8"/>
        <item h="1" x="9"/>
        <item h="1" x="10"/>
        <item h="1" x="11"/>
        <item h="1" x="12"/>
        <item h="1" x="13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3">
    <i>
      <x v="5"/>
    </i>
    <i>
      <x v="6"/>
    </i>
    <i t="grand">
      <x/>
    </i>
  </colItems>
  <pageFields count="1">
    <pageField fld="17" item="1" hier="-1"/>
  </pageFields>
  <dataFields count="1">
    <dataField name="Sum of Net_Sales" fld="12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7DDDC-9033-49F4-9366-C087592DE82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6:C43" firstHeaderRow="0" firstDataRow="1" firstDataCol="1" rowPageCount="1" colPageCount="1"/>
  <pivotFields count="21">
    <pivotField showAll="0"/>
    <pivotField numFmtId="165" showAll="0">
      <items count="157">
        <item x="144"/>
        <item x="80"/>
        <item x="136"/>
        <item x="2"/>
        <item x="84"/>
        <item x="26"/>
        <item x="17"/>
        <item x="116"/>
        <item x="37"/>
        <item x="10"/>
        <item x="98"/>
        <item x="92"/>
        <item x="69"/>
        <item x="89"/>
        <item x="109"/>
        <item x="112"/>
        <item x="103"/>
        <item x="47"/>
        <item x="111"/>
        <item x="99"/>
        <item x="48"/>
        <item x="126"/>
        <item x="54"/>
        <item x="121"/>
        <item x="133"/>
        <item x="107"/>
        <item x="39"/>
        <item x="11"/>
        <item x="82"/>
        <item x="108"/>
        <item x="153"/>
        <item x="102"/>
        <item x="7"/>
        <item x="33"/>
        <item x="36"/>
        <item x="43"/>
        <item x="49"/>
        <item x="65"/>
        <item x="73"/>
        <item x="46"/>
        <item x="18"/>
        <item x="152"/>
        <item x="61"/>
        <item x="60"/>
        <item x="16"/>
        <item x="42"/>
        <item x="114"/>
        <item x="117"/>
        <item x="79"/>
        <item x="50"/>
        <item x="67"/>
        <item x="8"/>
        <item x="52"/>
        <item x="105"/>
        <item x="155"/>
        <item x="146"/>
        <item x="148"/>
        <item x="35"/>
        <item x="100"/>
        <item x="20"/>
        <item x="64"/>
        <item x="88"/>
        <item x="44"/>
        <item x="1"/>
        <item x="9"/>
        <item x="4"/>
        <item x="124"/>
        <item x="62"/>
        <item x="101"/>
        <item x="122"/>
        <item x="29"/>
        <item x="32"/>
        <item x="6"/>
        <item x="145"/>
        <item x="129"/>
        <item x="53"/>
        <item x="94"/>
        <item x="137"/>
        <item x="51"/>
        <item x="19"/>
        <item x="123"/>
        <item x="110"/>
        <item x="96"/>
        <item x="28"/>
        <item x="30"/>
        <item x="90"/>
        <item x="0"/>
        <item x="140"/>
        <item x="119"/>
        <item x="72"/>
        <item x="59"/>
        <item x="56"/>
        <item x="131"/>
        <item x="138"/>
        <item x="13"/>
        <item x="55"/>
        <item x="149"/>
        <item x="87"/>
        <item x="58"/>
        <item x="14"/>
        <item x="86"/>
        <item x="83"/>
        <item x="130"/>
        <item x="31"/>
        <item x="91"/>
        <item x="22"/>
        <item x="135"/>
        <item x="147"/>
        <item x="142"/>
        <item x="74"/>
        <item x="23"/>
        <item x="113"/>
        <item x="125"/>
        <item x="57"/>
        <item x="63"/>
        <item x="106"/>
        <item x="134"/>
        <item x="120"/>
        <item x="115"/>
        <item x="24"/>
        <item x="139"/>
        <item x="141"/>
        <item x="128"/>
        <item x="27"/>
        <item x="75"/>
        <item x="127"/>
        <item x="40"/>
        <item x="151"/>
        <item x="78"/>
        <item x="25"/>
        <item x="132"/>
        <item x="21"/>
        <item x="118"/>
        <item x="12"/>
        <item x="71"/>
        <item x="70"/>
        <item x="34"/>
        <item x="41"/>
        <item x="81"/>
        <item x="77"/>
        <item x="150"/>
        <item x="68"/>
        <item x="104"/>
        <item x="76"/>
        <item x="3"/>
        <item x="45"/>
        <item x="15"/>
        <item x="5"/>
        <item x="85"/>
        <item x="66"/>
        <item x="97"/>
        <item x="93"/>
        <item x="38"/>
        <item x="95"/>
        <item x="143"/>
        <item x="15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numFmtId="2" showAll="0"/>
    <pivotField numFmtId="2" showAll="0"/>
    <pivotField dataField="1" numFmtId="2" showAll="0"/>
    <pivotField numFmtId="10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17" item="1" hier="-1"/>
  </pageFields>
  <dataFields count="2">
    <dataField name="Net_Sales (£)" fld="12" baseField="20" baseItem="1" numFmtId="2"/>
    <dataField name="Gross_Profit(£)" fld="15" baseField="20" baseItem="1" numFmtId="2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1548B-C633-4B30-A54A-AFB9E317BBC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0" firstDataRow="1" firstDataCol="1" rowPageCount="1" colPageCount="1"/>
  <pivotFields count="21">
    <pivotField showAll="0"/>
    <pivotField numFmtId="165" showAll="0">
      <items count="157">
        <item x="144"/>
        <item x="80"/>
        <item x="136"/>
        <item x="2"/>
        <item x="84"/>
        <item x="26"/>
        <item x="17"/>
        <item x="116"/>
        <item x="37"/>
        <item x="10"/>
        <item x="98"/>
        <item x="92"/>
        <item x="69"/>
        <item x="89"/>
        <item x="109"/>
        <item x="112"/>
        <item x="103"/>
        <item x="47"/>
        <item x="111"/>
        <item x="99"/>
        <item x="48"/>
        <item x="126"/>
        <item x="54"/>
        <item x="121"/>
        <item x="133"/>
        <item x="107"/>
        <item x="39"/>
        <item x="11"/>
        <item x="82"/>
        <item x="108"/>
        <item x="153"/>
        <item x="102"/>
        <item x="7"/>
        <item x="33"/>
        <item x="36"/>
        <item x="43"/>
        <item x="49"/>
        <item x="65"/>
        <item x="73"/>
        <item x="46"/>
        <item x="18"/>
        <item x="152"/>
        <item x="61"/>
        <item x="60"/>
        <item x="16"/>
        <item x="42"/>
        <item x="114"/>
        <item x="117"/>
        <item x="79"/>
        <item x="50"/>
        <item x="67"/>
        <item x="8"/>
        <item x="52"/>
        <item x="105"/>
        <item x="155"/>
        <item x="146"/>
        <item x="148"/>
        <item x="35"/>
        <item x="100"/>
        <item x="20"/>
        <item x="64"/>
        <item x="88"/>
        <item x="44"/>
        <item x="1"/>
        <item x="9"/>
        <item x="4"/>
        <item x="124"/>
        <item x="62"/>
        <item x="101"/>
        <item x="122"/>
        <item x="29"/>
        <item x="32"/>
        <item x="6"/>
        <item x="145"/>
        <item x="129"/>
        <item x="53"/>
        <item x="94"/>
        <item x="137"/>
        <item x="51"/>
        <item x="19"/>
        <item x="123"/>
        <item x="110"/>
        <item x="96"/>
        <item x="28"/>
        <item x="30"/>
        <item x="90"/>
        <item x="0"/>
        <item x="140"/>
        <item x="119"/>
        <item x="72"/>
        <item x="59"/>
        <item x="56"/>
        <item x="131"/>
        <item x="138"/>
        <item x="13"/>
        <item x="55"/>
        <item x="149"/>
        <item x="87"/>
        <item x="58"/>
        <item x="14"/>
        <item x="86"/>
        <item x="83"/>
        <item x="130"/>
        <item x="31"/>
        <item x="91"/>
        <item x="22"/>
        <item x="135"/>
        <item x="147"/>
        <item x="142"/>
        <item x="74"/>
        <item x="23"/>
        <item x="113"/>
        <item x="125"/>
        <item x="57"/>
        <item x="63"/>
        <item x="106"/>
        <item x="134"/>
        <item x="120"/>
        <item x="115"/>
        <item x="24"/>
        <item x="139"/>
        <item x="141"/>
        <item x="128"/>
        <item x="27"/>
        <item x="75"/>
        <item x="127"/>
        <item x="40"/>
        <item x="151"/>
        <item x="78"/>
        <item x="25"/>
        <item x="132"/>
        <item x="21"/>
        <item x="118"/>
        <item x="12"/>
        <item x="71"/>
        <item x="70"/>
        <item x="34"/>
        <item x="41"/>
        <item x="81"/>
        <item x="77"/>
        <item x="150"/>
        <item x="68"/>
        <item x="104"/>
        <item x="76"/>
        <item x="3"/>
        <item x="45"/>
        <item x="15"/>
        <item x="5"/>
        <item x="85"/>
        <item x="66"/>
        <item x="97"/>
        <item x="93"/>
        <item x="38"/>
        <item x="95"/>
        <item x="143"/>
        <item x="154"/>
        <item t="default"/>
      </items>
    </pivotField>
    <pivotField showAll="0"/>
    <pivotField showAll="0"/>
    <pivotField showAll="0"/>
    <pivotField showAll="0"/>
    <pivotField axis="axisRow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dataField="1" showAll="0"/>
    <pivotField showAll="0"/>
    <pivotField dataField="1" numFmtId="2" showAll="0"/>
    <pivotField dataField="1" numFmtId="2" showAll="0"/>
    <pivotField numFmtId="2" showAll="0"/>
    <pivotField numFmtId="2" showAll="0"/>
    <pivotField dataField="1" numFmtId="2" showAll="0"/>
    <pivotField numFmtId="10" showAll="0"/>
    <pivotField axis="axisPage" showAll="0">
      <items count="4">
        <item x="1"/>
        <item x="0"/>
        <item x="2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7" item="1" hier="-1"/>
  </pageFields>
  <dataFields count="4">
    <dataField name="Sum of Gross_Sales" fld="9" baseField="0" baseItem="0"/>
    <dataField name="Sum of Discount_Amt" fld="11" baseField="0" baseItem="0" numFmtId="2"/>
    <dataField name="Sum of Net_Sales" fld="12" baseField="0" baseItem="0" numFmtId="2"/>
    <dataField name="Sum of Gross_profit" fld="1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0F571E-AA67-4F16-886C-1B7E9A3272B2}" name="Discount_profit" displayName="Discount_profit" ref="B12:D17" totalsRowShown="0">
  <autoFilter ref="B12:D17" xr:uid="{0B0F571E-AA67-4F16-886C-1B7E9A3272B2}"/>
  <tableColumns count="3">
    <tableColumn id="1" xr3:uid="{1CDEE692-3348-4637-A948-D2FE34F8B7E3}" name="Product Category">
      <calculatedColumnFormula>A4</calculatedColumnFormula>
    </tableColumn>
    <tableColumn id="2" xr3:uid="{B153D0B0-1C6D-4500-AC54-FDA1B2AC2D18}" name="Discount Rate" dataDxfId="9">
      <calculatedColumnFormula>F4</calculatedColumnFormula>
    </tableColumn>
    <tableColumn id="3" xr3:uid="{DD70FA56-C012-4B4A-B27A-21A8ED80D752}" name="Gross Profit Margin" dataDxfId="8">
      <calculatedColumnFormula>G4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9B83CA-ABB1-4CBD-AC19-3CFCC925F506}" name="Sales_Data" displayName="Sales_Data" ref="A1:S321" totalsRowShown="0">
  <autoFilter ref="A1:S321" xr:uid="{00000000-0001-0000-0000-000000000000}"/>
  <tableColumns count="19">
    <tableColumn id="1" xr3:uid="{05BB748F-91F4-4A62-ADD1-5AAAEFEA243D}" name="Order_ID"/>
    <tableColumn id="2" xr3:uid="{E13B9372-D3B4-4FB0-9277-BC0A028355E3}" name="Order_Date" dataDxfId="7"/>
    <tableColumn id="3" xr3:uid="{C3D5EACE-6224-4D1E-A89E-F7F6ADFE1B7E}" name="Region"/>
    <tableColumn id="4" xr3:uid="{893CC082-73C1-410B-AEE4-A8DA9850B142}" name="Sales_Channel"/>
    <tableColumn id="5" xr3:uid="{635D2B46-8885-44D8-AB98-C20A4EC3CC4E}" name="Product_ID"/>
    <tableColumn id="6" xr3:uid="{9EC46181-F1D1-49A4-B7E5-02229F2DB135}" name="Product_Name">
      <calculatedColumnFormula>_xlfn.XLOOKUP(E2,Product_Lookup!$A$2:$A$14,Product_Lookup!$B$2:$B$14)</calculatedColumnFormula>
    </tableColumn>
    <tableColumn id="7" xr3:uid="{178AB4DB-658F-4D1A-B86C-E64DB4D83CCE}" name="Product_Category">
      <calculatedColumnFormula>_xlfn.XLOOKUP(Sales_Data!E2,Product_Lookup!$A$2:$A$14,Product_Lookup!$C$2:$C$14)</calculatedColumnFormula>
    </tableColumn>
    <tableColumn id="8" xr3:uid="{FAC329C7-7C3F-4D78-AB82-1595D4FEAAED}" name="Unit_Price">
      <calculatedColumnFormula>_xlfn.XLOOKUP(E2,Product_Lookup!$A$2:$A$14,Product_Lookup!$D$2:$D$14)</calculatedColumnFormula>
    </tableColumn>
    <tableColumn id="9" xr3:uid="{C162B889-0DF8-4F42-994E-45E9E3062E1E}" name="Quantity"/>
    <tableColumn id="10" xr3:uid="{0FBDB711-47EB-47D2-8BBF-10EEC5269655}" name="Gross_Sales">
      <calculatedColumnFormula>H2*I2</calculatedColumnFormula>
    </tableColumn>
    <tableColumn id="11" xr3:uid="{F4C6DA98-B18C-4D0D-8141-6CF6A2FA7F08}" name="Discount_Pct" dataDxfId="6"/>
    <tableColumn id="12" xr3:uid="{5284A5A9-4E47-4250-B55F-3E7DE4DD5EDC}" name="Discount_Amt" dataDxfId="5">
      <calculatedColumnFormula>J2*K2</calculatedColumnFormula>
    </tableColumn>
    <tableColumn id="13" xr3:uid="{AA1A0CFF-1544-45FA-822F-7F766E9F429B}" name="Net_Sales" dataDxfId="4">
      <calculatedColumnFormula>J2-L2</calculatedColumnFormula>
    </tableColumn>
    <tableColumn id="14" xr3:uid="{55D7974C-6DA3-45A5-97A4-8A3CA89C45C9}" name="Unit_Cost" dataDxfId="3">
      <calculatedColumnFormula>_xlfn.XLOOKUP(E2,Product_Lookup!$A$2:$A$14,Product_Lookup!$E$2:$E$14)</calculatedColumnFormula>
    </tableColumn>
    <tableColumn id="15" xr3:uid="{B6FED04B-E873-4A96-9781-A35C316380E7}" name="Total_Cost" dataDxfId="2">
      <calculatedColumnFormula>N2*I2</calculatedColumnFormula>
    </tableColumn>
    <tableColumn id="16" xr3:uid="{2C4969F1-1A82-462D-918F-1B1FD621E14B}" name="Gross_profit" dataDxfId="1">
      <calculatedColumnFormula>M2-O2</calculatedColumnFormula>
    </tableColumn>
    <tableColumn id="17" xr3:uid="{2AADE329-8D29-4C37-BF00-DA1EC23A27DC}" name="Gross_Pft_Mgn(%)" dataDxfId="0" dataCellStyle="Percent">
      <calculatedColumnFormula>P2/M2</calculatedColumnFormula>
    </tableColumn>
    <tableColumn id="18" xr3:uid="{7389FB26-A97D-4D09-9100-9AD6B53EEB97}" name="Order_Status"/>
    <tableColumn id="19" xr3:uid="{DD8F2C8B-58E9-42B2-ACED-06AFB46F3066}" name="Sales_Rep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98C4-F388-4195-A4F4-C02D852856D6}">
  <dimension ref="A1:J54"/>
  <sheetViews>
    <sheetView topLeftCell="A13" workbookViewId="0">
      <selection activeCell="E41" sqref="E41"/>
    </sheetView>
  </sheetViews>
  <sheetFormatPr defaultRowHeight="13.5"/>
  <cols>
    <col min="1" max="1" width="15.3125" bestFit="1" customWidth="1"/>
    <col min="2" max="2" width="16.5625" bestFit="1" customWidth="1"/>
    <col min="3" max="3" width="18.8125" bestFit="1" customWidth="1"/>
    <col min="4" max="4" width="19.8125" bestFit="1" customWidth="1"/>
    <col min="5" max="5" width="16.5625" bestFit="1" customWidth="1"/>
    <col min="6" max="6" width="17.3125" bestFit="1" customWidth="1"/>
    <col min="7" max="7" width="18.8125" bestFit="1" customWidth="1"/>
    <col min="8" max="8" width="11.3125" bestFit="1" customWidth="1"/>
    <col min="9" max="28" width="6.5625" bestFit="1" customWidth="1"/>
    <col min="29" max="80" width="6.8125" bestFit="1" customWidth="1"/>
    <col min="81" max="106" width="6.4375" bestFit="1" customWidth="1"/>
    <col min="107" max="133" width="6.9375" bestFit="1" customWidth="1"/>
    <col min="134" max="157" width="6.6875" bestFit="1" customWidth="1"/>
    <col min="158" max="158" width="11.3125" bestFit="1" customWidth="1"/>
  </cols>
  <sheetData>
    <row r="1" spans="1:4">
      <c r="A1" s="11" t="s">
        <v>7</v>
      </c>
      <c r="B1" t="s">
        <v>13</v>
      </c>
    </row>
    <row r="2" spans="1:4">
      <c r="A2" t="s">
        <v>449</v>
      </c>
    </row>
    <row r="3" spans="1:4">
      <c r="A3" s="11" t="s">
        <v>439</v>
      </c>
      <c r="B3" t="s">
        <v>440</v>
      </c>
    </row>
    <row r="4" spans="1:4">
      <c r="A4" s="12" t="s">
        <v>44</v>
      </c>
      <c r="B4" s="7">
        <v>17988.949999999997</v>
      </c>
      <c r="D4" s="10"/>
    </row>
    <row r="5" spans="1:4">
      <c r="A5" s="12" t="s">
        <v>10</v>
      </c>
      <c r="B5" s="7">
        <v>24315.200000000001</v>
      </c>
      <c r="D5" s="10"/>
    </row>
    <row r="6" spans="1:4">
      <c r="A6" s="12" t="s">
        <v>38</v>
      </c>
      <c r="B6" s="7">
        <v>24415.15</v>
      </c>
      <c r="D6" s="10"/>
    </row>
    <row r="7" spans="1:4">
      <c r="A7" s="12" t="s">
        <v>24</v>
      </c>
      <c r="B7" s="7">
        <v>25871.55</v>
      </c>
      <c r="D7" s="10"/>
    </row>
    <row r="8" spans="1:4">
      <c r="A8" s="12" t="s">
        <v>29</v>
      </c>
      <c r="B8" s="7">
        <v>28616.300000000003</v>
      </c>
      <c r="D8" s="10"/>
    </row>
    <row r="9" spans="1:4">
      <c r="A9" s="12" t="s">
        <v>438</v>
      </c>
      <c r="B9" s="7">
        <v>121207.15000000001</v>
      </c>
      <c r="D9" s="10"/>
    </row>
    <row r="11" spans="1:4">
      <c r="A11" s="12"/>
      <c r="B11" s="7"/>
      <c r="C11" s="7"/>
    </row>
    <row r="12" spans="1:4">
      <c r="A12" s="12"/>
      <c r="B12" s="7"/>
      <c r="C12" s="7"/>
    </row>
    <row r="13" spans="1:4">
      <c r="A13" s="11" t="s">
        <v>7</v>
      </c>
      <c r="B13" t="s">
        <v>13</v>
      </c>
    </row>
    <row r="14" spans="1:4">
      <c r="A14" s="12" t="s">
        <v>448</v>
      </c>
    </row>
    <row r="15" spans="1:4">
      <c r="A15" s="11" t="s">
        <v>439</v>
      </c>
      <c r="B15" t="s">
        <v>440</v>
      </c>
      <c r="C15" t="s">
        <v>441</v>
      </c>
    </row>
    <row r="16" spans="1:4">
      <c r="A16" s="12" t="s">
        <v>366</v>
      </c>
      <c r="B16" s="7">
        <v>57384.75</v>
      </c>
      <c r="C16" s="7">
        <v>17888.75</v>
      </c>
      <c r="D16" s="10">
        <f>GETPIVOTDATA("Sum of Gross_profit",$A$15,"Product_Category",A16)/GETPIVOTDATA("Sum of Net_Sales",$A$15,"Product_Category",A16)</f>
        <v>0.31173351805139865</v>
      </c>
    </row>
    <row r="17" spans="1:10">
      <c r="A17" s="12" t="s">
        <v>374</v>
      </c>
      <c r="B17" s="7">
        <v>23189.399999999998</v>
      </c>
      <c r="C17" s="7">
        <v>9274.4</v>
      </c>
      <c r="D17" s="10">
        <f t="shared" ref="D17:D20" si="0">GETPIVOTDATA("Sum of Gross_profit",$A$15,"Product_Category",A17)/GETPIVOTDATA("Sum of Net_Sales",$A$15,"Product_Category",A17)</f>
        <v>0.39994135251451096</v>
      </c>
    </row>
    <row r="18" spans="1:10">
      <c r="A18" s="12" t="s">
        <v>370</v>
      </c>
      <c r="B18" s="7">
        <v>16850.5</v>
      </c>
      <c r="C18" s="7">
        <v>6227.5</v>
      </c>
      <c r="D18" s="10">
        <f t="shared" si="0"/>
        <v>0.36957360315717636</v>
      </c>
    </row>
    <row r="19" spans="1:10">
      <c r="A19" s="12" t="s">
        <v>378</v>
      </c>
      <c r="B19" s="7">
        <v>12222.749999999998</v>
      </c>
      <c r="C19" s="7">
        <v>4703.7500000000009</v>
      </c>
      <c r="D19" s="10">
        <f t="shared" si="0"/>
        <v>0.38483565482399634</v>
      </c>
    </row>
    <row r="20" spans="1:10">
      <c r="A20" s="12" t="s">
        <v>381</v>
      </c>
      <c r="B20" s="7">
        <v>11759.249999999998</v>
      </c>
      <c r="C20" s="7">
        <v>4367.25</v>
      </c>
      <c r="D20" s="10">
        <f t="shared" si="0"/>
        <v>0.37138848140825315</v>
      </c>
    </row>
    <row r="21" spans="1:10">
      <c r="A21" s="12" t="s">
        <v>438</v>
      </c>
      <c r="B21" s="7">
        <v>121406.65</v>
      </c>
      <c r="C21" s="7">
        <v>42461.65</v>
      </c>
    </row>
    <row r="24" spans="1:10">
      <c r="A24" s="11" t="s">
        <v>7</v>
      </c>
      <c r="B24" t="s">
        <v>13</v>
      </c>
    </row>
    <row r="25" spans="1:10">
      <c r="A25" s="12" t="s">
        <v>450</v>
      </c>
    </row>
    <row r="26" spans="1:10">
      <c r="A26" s="11" t="s">
        <v>439</v>
      </c>
      <c r="B26" t="s">
        <v>447</v>
      </c>
      <c r="C26" t="s">
        <v>445</v>
      </c>
      <c r="D26" t="s">
        <v>444</v>
      </c>
      <c r="E26" t="s">
        <v>440</v>
      </c>
      <c r="F26" t="s">
        <v>446</v>
      </c>
      <c r="G26" t="s">
        <v>441</v>
      </c>
      <c r="I26" t="s">
        <v>451</v>
      </c>
      <c r="J26" t="s">
        <v>452</v>
      </c>
    </row>
    <row r="27" spans="1:10">
      <c r="A27" s="12" t="s">
        <v>374</v>
      </c>
      <c r="B27">
        <v>265</v>
      </c>
      <c r="C27">
        <v>24899</v>
      </c>
      <c r="D27" s="7">
        <v>1709.6000000000001</v>
      </c>
      <c r="E27" s="7">
        <v>23189.399999999998</v>
      </c>
      <c r="F27" s="7">
        <v>13915</v>
      </c>
      <c r="G27" s="7">
        <v>9274.4</v>
      </c>
      <c r="H27" s="10">
        <f>GETPIVOTDATA("Sum of Discount_Amt",$A$26,"Product_Category",A27)/GETPIVOTDATA("Sum of Gross_Sales",$A$26,"Product_Category",A27)</f>
        <v>6.8661392023776066E-2</v>
      </c>
      <c r="I27" s="7">
        <f>GETPIVOTDATA("Sum of Total_Cost",$A$26,"Product_Category",A27)/GETPIVOTDATA("Sum of Quantity",$A$26,"Product_Category",A27)</f>
        <v>52.509433962264154</v>
      </c>
      <c r="J27" s="8">
        <f>GETPIVOTDATA("Sum of Total_Cost",$A$26,"Product_Category",A27)/GETPIVOTDATA("Sum of Net_Sales",$A$26,"Product_Category",A27)</f>
        <v>0.60005864748548909</v>
      </c>
    </row>
    <row r="28" spans="1:10">
      <c r="A28" s="12" t="s">
        <v>366</v>
      </c>
      <c r="B28">
        <v>253</v>
      </c>
      <c r="C28">
        <v>61500</v>
      </c>
      <c r="D28" s="7">
        <v>4115.25</v>
      </c>
      <c r="E28" s="7">
        <v>57384.75</v>
      </c>
      <c r="F28" s="7">
        <v>39496</v>
      </c>
      <c r="G28" s="7">
        <v>17888.75</v>
      </c>
      <c r="H28" s="10">
        <f t="shared" ref="H28:H31" si="1">GETPIVOTDATA("Sum of Discount_Amt",$A$26,"Product_Category",A28)/GETPIVOTDATA("Sum of Gross_Sales",$A$26,"Product_Category",A28)</f>
        <v>6.6914634146341467E-2</v>
      </c>
      <c r="I28" s="7">
        <f t="shared" ref="I28:I31" si="2">GETPIVOTDATA("Sum of Total_Cost",$A$26,"Product_Category",A28)/GETPIVOTDATA("Sum of Quantity",$A$26,"Product_Category",A28)</f>
        <v>156.11067193675891</v>
      </c>
      <c r="J28" s="8">
        <f t="shared" ref="J28:J31" si="3">GETPIVOTDATA("Sum of Total_Cost",$A$26,"Product_Category",A28)/GETPIVOTDATA("Sum of Net_Sales",$A$26,"Product_Category",A28)</f>
        <v>0.68826648194860129</v>
      </c>
    </row>
    <row r="29" spans="1:10">
      <c r="A29" s="12" t="s">
        <v>370</v>
      </c>
      <c r="B29">
        <v>245</v>
      </c>
      <c r="C29">
        <v>18353</v>
      </c>
      <c r="D29" s="7">
        <v>1502.5</v>
      </c>
      <c r="E29" s="7">
        <v>16850.5</v>
      </c>
      <c r="F29" s="7">
        <v>10623</v>
      </c>
      <c r="G29" s="7">
        <v>6227.5</v>
      </c>
      <c r="H29" s="10">
        <f t="shared" si="1"/>
        <v>8.1866724786138503E-2</v>
      </c>
      <c r="I29" s="7">
        <f t="shared" si="2"/>
        <v>43.359183673469389</v>
      </c>
      <c r="J29" s="8">
        <f t="shared" si="3"/>
        <v>0.63042639684282364</v>
      </c>
    </row>
    <row r="30" spans="1:10">
      <c r="A30" s="12" t="s">
        <v>381</v>
      </c>
      <c r="B30">
        <v>168</v>
      </c>
      <c r="C30">
        <v>13179</v>
      </c>
      <c r="D30" s="7">
        <v>1419.7499999999998</v>
      </c>
      <c r="E30" s="7">
        <v>11759.249999999998</v>
      </c>
      <c r="F30" s="7">
        <v>7392</v>
      </c>
      <c r="G30" s="7">
        <v>4367.25</v>
      </c>
      <c r="H30" s="10">
        <f t="shared" si="1"/>
        <v>0.10772820396084679</v>
      </c>
      <c r="I30" s="7">
        <f t="shared" si="2"/>
        <v>44</v>
      </c>
      <c r="J30" s="8">
        <f t="shared" si="3"/>
        <v>0.62861151859174702</v>
      </c>
    </row>
    <row r="31" spans="1:10">
      <c r="A31" s="12" t="s">
        <v>378</v>
      </c>
      <c r="B31">
        <v>145</v>
      </c>
      <c r="C31">
        <v>13526</v>
      </c>
      <c r="D31" s="7">
        <v>1303.25</v>
      </c>
      <c r="E31" s="7">
        <v>12222.749999999998</v>
      </c>
      <c r="F31" s="7">
        <v>7519</v>
      </c>
      <c r="G31" s="7">
        <v>4703.7500000000009</v>
      </c>
      <c r="H31" s="10">
        <f t="shared" si="1"/>
        <v>9.6351471240573708E-2</v>
      </c>
      <c r="I31" s="7">
        <f t="shared" si="2"/>
        <v>51.855172413793106</v>
      </c>
      <c r="J31" s="8">
        <f t="shared" si="3"/>
        <v>0.61516434517600382</v>
      </c>
    </row>
    <row r="32" spans="1:10">
      <c r="A32" s="12" t="s">
        <v>438</v>
      </c>
      <c r="B32">
        <v>1076</v>
      </c>
      <c r="C32">
        <v>131457</v>
      </c>
      <c r="D32" s="7">
        <v>10050.35</v>
      </c>
      <c r="E32" s="7">
        <v>121406.65</v>
      </c>
      <c r="F32" s="7">
        <v>78945</v>
      </c>
      <c r="G32" s="7">
        <v>42461.65</v>
      </c>
    </row>
    <row r="34" spans="1:8">
      <c r="A34" s="11" t="s">
        <v>7</v>
      </c>
      <c r="B34" t="s">
        <v>13</v>
      </c>
    </row>
    <row r="35" spans="1:8">
      <c r="A35" s="12" t="s">
        <v>453</v>
      </c>
    </row>
    <row r="36" spans="1:8">
      <c r="A36" s="11" t="s">
        <v>439</v>
      </c>
      <c r="B36" t="s">
        <v>469</v>
      </c>
      <c r="C36" t="s">
        <v>470</v>
      </c>
    </row>
    <row r="37" spans="1:8">
      <c r="A37" s="12" t="s">
        <v>454</v>
      </c>
      <c r="B37" s="7">
        <v>24464.25</v>
      </c>
      <c r="C37" s="7">
        <v>8740.25</v>
      </c>
      <c r="F37" s="13"/>
      <c r="H37" s="10"/>
    </row>
    <row r="38" spans="1:8">
      <c r="A38" s="12" t="s">
        <v>455</v>
      </c>
      <c r="B38" s="7">
        <v>18211.5</v>
      </c>
      <c r="C38" s="7">
        <v>6733.4999999999991</v>
      </c>
      <c r="E38" s="10"/>
      <c r="F38" s="13"/>
      <c r="G38" s="10"/>
      <c r="H38" s="10"/>
    </row>
    <row r="39" spans="1:8">
      <c r="A39" s="12" t="s">
        <v>456</v>
      </c>
      <c r="B39" s="7">
        <v>18350.350000000002</v>
      </c>
      <c r="C39" s="7">
        <v>6414.3499999999995</v>
      </c>
      <c r="E39" s="10"/>
      <c r="F39" s="13"/>
      <c r="G39" s="10"/>
      <c r="H39" s="10"/>
    </row>
    <row r="40" spans="1:8">
      <c r="A40" s="12" t="s">
        <v>457</v>
      </c>
      <c r="B40" s="7">
        <v>17114.25</v>
      </c>
      <c r="C40" s="7">
        <v>5545.25</v>
      </c>
      <c r="E40" s="10"/>
      <c r="F40" s="13"/>
      <c r="G40" s="10"/>
      <c r="H40" s="10"/>
    </row>
    <row r="41" spans="1:8">
      <c r="A41" s="12" t="s">
        <v>458</v>
      </c>
      <c r="B41" s="7">
        <v>20006.949999999997</v>
      </c>
      <c r="C41" s="7">
        <v>7057.95</v>
      </c>
      <c r="E41" s="10"/>
      <c r="F41" s="13"/>
      <c r="G41" s="10"/>
      <c r="H41" s="10"/>
    </row>
    <row r="42" spans="1:8">
      <c r="A42" s="12" t="s">
        <v>459</v>
      </c>
      <c r="B42" s="7">
        <v>23259.35</v>
      </c>
      <c r="C42" s="7">
        <v>7970.35</v>
      </c>
      <c r="E42" s="10"/>
      <c r="F42" s="13"/>
      <c r="G42" s="10"/>
      <c r="H42" s="10"/>
    </row>
    <row r="43" spans="1:8">
      <c r="A43" s="12" t="s">
        <v>438</v>
      </c>
      <c r="B43" s="7">
        <v>121406.65</v>
      </c>
      <c r="C43" s="7">
        <v>42461.649999999994</v>
      </c>
    </row>
    <row r="45" spans="1:8">
      <c r="A45" s="11" t="s">
        <v>7</v>
      </c>
      <c r="B45" t="s">
        <v>13</v>
      </c>
    </row>
    <row r="47" spans="1:8">
      <c r="A47" s="11" t="s">
        <v>440</v>
      </c>
      <c r="B47" s="11" t="s">
        <v>437</v>
      </c>
    </row>
    <row r="48" spans="1:8">
      <c r="A48" s="11" t="s">
        <v>439</v>
      </c>
      <c r="B48" t="s">
        <v>458</v>
      </c>
      <c r="C48" t="s">
        <v>459</v>
      </c>
      <c r="D48" t="s">
        <v>438</v>
      </c>
    </row>
    <row r="49" spans="1:4">
      <c r="A49" s="12" t="s">
        <v>366</v>
      </c>
      <c r="B49" s="14">
        <v>0.50291273782360635</v>
      </c>
      <c r="C49" s="14">
        <v>0.53008790013478457</v>
      </c>
      <c r="D49" s="14">
        <v>0.51752172013784403</v>
      </c>
    </row>
    <row r="50" spans="1:4">
      <c r="A50" s="12" t="s">
        <v>374</v>
      </c>
      <c r="B50" s="14">
        <v>0.12756567092935206</v>
      </c>
      <c r="C50" s="14">
        <v>0.18087564785774324</v>
      </c>
      <c r="D50" s="14">
        <v>0.15622435937438608</v>
      </c>
    </row>
    <row r="51" spans="1:4">
      <c r="A51" s="12" t="s">
        <v>370</v>
      </c>
      <c r="B51" s="14">
        <v>0.18183181344482796</v>
      </c>
      <c r="C51" s="14">
        <v>0.13655583668503204</v>
      </c>
      <c r="D51" s="14">
        <v>0.15749208968643033</v>
      </c>
    </row>
    <row r="52" spans="1:4">
      <c r="A52" s="12" t="s">
        <v>378</v>
      </c>
      <c r="B52" s="14">
        <v>8.2946176203769206E-2</v>
      </c>
      <c r="C52" s="14">
        <v>7.9236952021445151E-2</v>
      </c>
      <c r="D52" s="14">
        <v>8.0952149825614869E-2</v>
      </c>
    </row>
    <row r="53" spans="1:4">
      <c r="A53" s="12" t="s">
        <v>381</v>
      </c>
      <c r="B53" s="14">
        <v>0.10474360159844455</v>
      </c>
      <c r="C53" s="14">
        <v>7.324366330099509E-2</v>
      </c>
      <c r="D53" s="14">
        <v>8.7809680975724766E-2</v>
      </c>
    </row>
    <row r="54" spans="1:4">
      <c r="A54" s="12" t="s">
        <v>438</v>
      </c>
      <c r="B54" s="14">
        <v>1</v>
      </c>
      <c r="C54" s="14">
        <v>1</v>
      </c>
      <c r="D54" s="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CB095-0097-41D6-8770-DD2BEBF404F6}">
  <dimension ref="A1:G17"/>
  <sheetViews>
    <sheetView workbookViewId="0">
      <selection activeCell="B28" sqref="B28"/>
    </sheetView>
  </sheetViews>
  <sheetFormatPr defaultRowHeight="13.5"/>
  <cols>
    <col min="1" max="1" width="16.4375" bestFit="1" customWidth="1"/>
    <col min="2" max="2" width="18.9375" bestFit="1" customWidth="1"/>
    <col min="3" max="3" width="19.8125" bestFit="1" customWidth="1"/>
    <col min="4" max="4" width="16.5625" bestFit="1" customWidth="1"/>
    <col min="5" max="5" width="18.8125" bestFit="1" customWidth="1"/>
    <col min="6" max="6" width="11.6875" bestFit="1" customWidth="1"/>
  </cols>
  <sheetData>
    <row r="1" spans="1:7">
      <c r="A1" s="11" t="s">
        <v>7</v>
      </c>
      <c r="B1" t="s">
        <v>13</v>
      </c>
    </row>
    <row r="2" spans="1:7">
      <c r="A2" t="s">
        <v>461</v>
      </c>
    </row>
    <row r="3" spans="1:7">
      <c r="A3" s="11" t="s">
        <v>439</v>
      </c>
      <c r="B3" t="s">
        <v>445</v>
      </c>
      <c r="C3" t="s">
        <v>444</v>
      </c>
      <c r="D3" t="s">
        <v>440</v>
      </c>
      <c r="E3" t="s">
        <v>441</v>
      </c>
      <c r="F3" t="s">
        <v>460</v>
      </c>
      <c r="G3" t="s">
        <v>443</v>
      </c>
    </row>
    <row r="4" spans="1:7">
      <c r="A4" s="12" t="s">
        <v>366</v>
      </c>
      <c r="B4">
        <v>61500</v>
      </c>
      <c r="C4" s="7">
        <v>4115.25</v>
      </c>
      <c r="D4" s="7">
        <v>57384.75</v>
      </c>
      <c r="E4" s="7">
        <v>17888.75</v>
      </c>
      <c r="F4" s="10">
        <f>GETPIVOTDATA("Sum of Discount_Amt",$A$3,"Product_Category",A4)/GETPIVOTDATA("Sum of Gross_Sales",$A$3,"Product_Category",A4)</f>
        <v>6.6914634146341467E-2</v>
      </c>
      <c r="G4" s="10">
        <f>GETPIVOTDATA("Sum of Gross_profit",$A$3,"Product_Category",A4)/GETPIVOTDATA("Sum of Net_Sales",$A$3,"Product_Category",A4)</f>
        <v>0.31173351805139865</v>
      </c>
    </row>
    <row r="5" spans="1:7">
      <c r="A5" s="12" t="s">
        <v>374</v>
      </c>
      <c r="B5">
        <v>24899</v>
      </c>
      <c r="C5" s="7">
        <v>1709.6000000000001</v>
      </c>
      <c r="D5" s="7">
        <v>23189.399999999998</v>
      </c>
      <c r="E5" s="7">
        <v>9274.4</v>
      </c>
      <c r="F5" s="10">
        <f t="shared" ref="F5:F8" si="0">GETPIVOTDATA("Sum of Discount_Amt",$A$3,"Product_Category",A5)/GETPIVOTDATA("Sum of Gross_Sales",$A$3,"Product_Category",A5)</f>
        <v>6.8661392023776066E-2</v>
      </c>
      <c r="G5" s="10">
        <f t="shared" ref="G5:G8" si="1">GETPIVOTDATA("Sum of Gross_profit",$A$3,"Product_Category",A5)/GETPIVOTDATA("Sum of Net_Sales",$A$3,"Product_Category",A5)</f>
        <v>0.39994135251451096</v>
      </c>
    </row>
    <row r="6" spans="1:7">
      <c r="A6" s="12" t="s">
        <v>370</v>
      </c>
      <c r="B6">
        <v>18353</v>
      </c>
      <c r="C6" s="7">
        <v>1502.5</v>
      </c>
      <c r="D6" s="7">
        <v>16850.5</v>
      </c>
      <c r="E6" s="7">
        <v>6227.5</v>
      </c>
      <c r="F6" s="10">
        <f t="shared" si="0"/>
        <v>8.1866724786138503E-2</v>
      </c>
      <c r="G6" s="10">
        <f t="shared" si="1"/>
        <v>0.36957360315717636</v>
      </c>
    </row>
    <row r="7" spans="1:7">
      <c r="A7" s="12" t="s">
        <v>378</v>
      </c>
      <c r="B7">
        <v>13526</v>
      </c>
      <c r="C7" s="7">
        <v>1303.25</v>
      </c>
      <c r="D7" s="7">
        <v>12222.749999999998</v>
      </c>
      <c r="E7" s="7">
        <v>4703.7500000000009</v>
      </c>
      <c r="F7" s="10">
        <f t="shared" si="0"/>
        <v>9.6351471240573708E-2</v>
      </c>
      <c r="G7" s="10">
        <f t="shared" si="1"/>
        <v>0.38483565482399634</v>
      </c>
    </row>
    <row r="8" spans="1:7">
      <c r="A8" s="12" t="s">
        <v>381</v>
      </c>
      <c r="B8">
        <v>13179</v>
      </c>
      <c r="C8" s="7">
        <v>1419.7499999999998</v>
      </c>
      <c r="D8" s="7">
        <v>11759.249999999998</v>
      </c>
      <c r="E8" s="7">
        <v>4367.25</v>
      </c>
      <c r="F8" s="10">
        <f t="shared" si="0"/>
        <v>0.10772820396084679</v>
      </c>
      <c r="G8" s="10">
        <f t="shared" si="1"/>
        <v>0.37138848140825315</v>
      </c>
    </row>
    <row r="9" spans="1:7">
      <c r="A9" s="12" t="s">
        <v>438</v>
      </c>
      <c r="B9">
        <v>131457</v>
      </c>
      <c r="C9" s="7">
        <v>10050.35</v>
      </c>
      <c r="D9" s="7">
        <v>121406.65</v>
      </c>
      <c r="E9" s="7">
        <v>42461.65</v>
      </c>
    </row>
    <row r="12" spans="1:7">
      <c r="B12" t="s">
        <v>448</v>
      </c>
      <c r="C12" t="s">
        <v>467</v>
      </c>
      <c r="D12" t="s">
        <v>468</v>
      </c>
    </row>
    <row r="13" spans="1:7">
      <c r="B13" t="str">
        <f>A4</f>
        <v>Furniture</v>
      </c>
      <c r="C13" s="14">
        <f>F4</f>
        <v>6.6914634146341467E-2</v>
      </c>
      <c r="D13" s="14">
        <f>G4</f>
        <v>0.31173351805139865</v>
      </c>
    </row>
    <row r="14" spans="1:7">
      <c r="B14" t="str">
        <f t="shared" ref="B14:B17" si="2">A5</f>
        <v>Home Accessories</v>
      </c>
      <c r="C14" s="14">
        <f t="shared" ref="C14:C17" si="3">F5</f>
        <v>6.8661392023776066E-2</v>
      </c>
      <c r="D14" s="14">
        <f t="shared" ref="D14:D17" si="4">G5</f>
        <v>0.39994135251451096</v>
      </c>
    </row>
    <row r="15" spans="1:7">
      <c r="B15" t="str">
        <f t="shared" si="2"/>
        <v>Kitchenware</v>
      </c>
      <c r="C15" s="14">
        <f t="shared" si="3"/>
        <v>8.1866724786138503E-2</v>
      </c>
      <c r="D15" s="14">
        <f t="shared" si="4"/>
        <v>0.36957360315717636</v>
      </c>
    </row>
    <row r="16" spans="1:7">
      <c r="B16" t="str">
        <f t="shared" si="2"/>
        <v>Lighting</v>
      </c>
      <c r="C16" s="14">
        <f t="shared" si="3"/>
        <v>9.6351471240573708E-2</v>
      </c>
      <c r="D16" s="14">
        <f t="shared" si="4"/>
        <v>0.38483565482399634</v>
      </c>
    </row>
    <row r="17" spans="2:4">
      <c r="B17" t="str">
        <f t="shared" si="2"/>
        <v>Storage</v>
      </c>
      <c r="C17" s="14">
        <f t="shared" si="3"/>
        <v>0.10772820396084679</v>
      </c>
      <c r="D17" s="14">
        <f t="shared" si="4"/>
        <v>0.37138848140825315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AFB2-DC1F-4E10-B988-8A1458AD1B05}">
  <dimension ref="B2:O9"/>
  <sheetViews>
    <sheetView showGridLines="0" topLeftCell="A5" zoomScale="75" zoomScaleNormal="75" workbookViewId="0">
      <selection activeCell="B7" sqref="B7:E9"/>
    </sheetView>
  </sheetViews>
  <sheetFormatPr defaultRowHeight="13.5"/>
  <cols>
    <col min="1" max="16" width="12.375" customWidth="1"/>
  </cols>
  <sheetData>
    <row r="2" spans="2:15">
      <c r="B2" s="25" t="s">
        <v>462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2:15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2:15" ht="20.65">
      <c r="B4" s="27" t="s">
        <v>463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6" spans="2:15" ht="20.65">
      <c r="B6" s="29" t="s">
        <v>464</v>
      </c>
      <c r="C6" s="30"/>
      <c r="D6" s="30"/>
      <c r="E6" s="30"/>
      <c r="F6" s="15"/>
      <c r="G6" s="29" t="s">
        <v>465</v>
      </c>
      <c r="H6" s="30"/>
      <c r="I6" s="30"/>
      <c r="J6" s="30"/>
      <c r="K6" s="15"/>
      <c r="L6" s="29" t="s">
        <v>466</v>
      </c>
      <c r="M6" s="30"/>
      <c r="N6" s="30"/>
      <c r="O6" s="30"/>
    </row>
    <row r="7" spans="2:15" ht="25.15">
      <c r="B7" s="31">
        <f>GETPIVOTDATA("Sum of Net_Sales",Pivot_Table!$A$15)</f>
        <v>121406.65</v>
      </c>
      <c r="C7" s="31"/>
      <c r="D7" s="31"/>
      <c r="E7" s="31"/>
      <c r="F7" s="16"/>
      <c r="G7" s="32">
        <f>GETPIVOTDATA("Sum of Gross_profit",Pivot_Table!$A$15)</f>
        <v>42461.65</v>
      </c>
      <c r="H7" s="32"/>
      <c r="I7" s="32"/>
      <c r="J7" s="32"/>
      <c r="K7" s="16"/>
      <c r="L7" s="33">
        <f>G7/B7</f>
        <v>0.34974731614783872</v>
      </c>
      <c r="M7" s="33"/>
      <c r="N7" s="33"/>
      <c r="O7" s="33"/>
    </row>
    <row r="8" spans="2:15" ht="25.15">
      <c r="B8" s="31"/>
      <c r="C8" s="31"/>
      <c r="D8" s="31"/>
      <c r="E8" s="31"/>
      <c r="F8" s="16"/>
      <c r="G8" s="32"/>
      <c r="H8" s="32"/>
      <c r="I8" s="32"/>
      <c r="J8" s="32"/>
      <c r="K8" s="16"/>
      <c r="L8" s="33"/>
      <c r="M8" s="33"/>
      <c r="N8" s="33"/>
      <c r="O8" s="33"/>
    </row>
    <row r="9" spans="2:15" ht="25.15">
      <c r="B9" s="31"/>
      <c r="C9" s="31"/>
      <c r="D9" s="31"/>
      <c r="E9" s="31"/>
      <c r="F9" s="16"/>
      <c r="G9" s="32"/>
      <c r="H9" s="32"/>
      <c r="I9" s="32"/>
      <c r="J9" s="32"/>
      <c r="K9" s="16"/>
      <c r="L9" s="33"/>
      <c r="M9" s="33"/>
      <c r="N9" s="33"/>
      <c r="O9" s="33"/>
    </row>
  </sheetData>
  <mergeCells count="8">
    <mergeCell ref="B2:O3"/>
    <mergeCell ref="B4:O4"/>
    <mergeCell ref="B6:E6"/>
    <mergeCell ref="B7:E9"/>
    <mergeCell ref="G6:J6"/>
    <mergeCell ref="G7:J9"/>
    <mergeCell ref="L6:O6"/>
    <mergeCell ref="L7:O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E7E0-CF3C-4345-84A9-A31B2F52C013}">
  <dimension ref="B2:I38"/>
  <sheetViews>
    <sheetView showGridLines="0" tabSelected="1" workbookViewId="0">
      <selection activeCell="R11" sqref="R11"/>
    </sheetView>
  </sheetViews>
  <sheetFormatPr defaultRowHeight="13.9"/>
  <cols>
    <col min="3" max="3" width="9" style="17"/>
  </cols>
  <sheetData>
    <row r="2" spans="2:9">
      <c r="B2" s="18" t="s">
        <v>482</v>
      </c>
      <c r="C2" s="20"/>
      <c r="D2" s="19"/>
      <c r="E2" s="19"/>
      <c r="F2" s="19"/>
      <c r="G2" s="19"/>
      <c r="H2" s="19"/>
      <c r="I2" s="19"/>
    </row>
    <row r="3" spans="2:9">
      <c r="B3" s="18" t="s">
        <v>471</v>
      </c>
      <c r="C3" s="18"/>
      <c r="D3" s="21"/>
      <c r="E3" s="21"/>
      <c r="F3" s="21"/>
      <c r="G3" s="21"/>
      <c r="H3" s="21"/>
      <c r="I3" s="19"/>
    </row>
    <row r="5" spans="2:9">
      <c r="B5" s="23" t="s">
        <v>472</v>
      </c>
      <c r="C5" s="23"/>
    </row>
    <row r="6" spans="2:9" ht="13.9" customHeight="1">
      <c r="B6" s="22" t="s">
        <v>484</v>
      </c>
      <c r="C6" s="22"/>
      <c r="D6" s="22"/>
      <c r="E6" s="22"/>
      <c r="F6" s="22"/>
      <c r="G6" s="22"/>
      <c r="H6" s="22"/>
      <c r="I6" s="22"/>
    </row>
    <row r="7" spans="2:9" ht="13.9" customHeight="1">
      <c r="B7" s="22"/>
      <c r="C7" s="22"/>
      <c r="D7" s="22"/>
      <c r="E7" s="22"/>
      <c r="F7" s="22"/>
      <c r="G7" s="22"/>
      <c r="H7" s="22"/>
      <c r="I7" s="22"/>
    </row>
    <row r="8" spans="2:9" ht="13.9" customHeight="1">
      <c r="B8" s="22"/>
      <c r="C8" s="22"/>
      <c r="D8" s="22"/>
      <c r="E8" s="22"/>
      <c r="F8" s="22"/>
      <c r="G8" s="22"/>
      <c r="H8" s="22"/>
      <c r="I8" s="22"/>
    </row>
    <row r="9" spans="2:9" ht="13.9" customHeight="1">
      <c r="B9" s="22"/>
      <c r="C9" s="22"/>
      <c r="D9" s="22"/>
      <c r="E9" s="22"/>
      <c r="F9" s="22"/>
      <c r="G9" s="22"/>
      <c r="H9" s="22"/>
      <c r="I9" s="22"/>
    </row>
    <row r="10" spans="2:9" ht="13.9" customHeight="1">
      <c r="B10" s="22" t="s">
        <v>473</v>
      </c>
      <c r="C10" s="22"/>
      <c r="D10" s="22"/>
      <c r="E10" s="22"/>
      <c r="F10" s="22"/>
      <c r="G10" s="22"/>
      <c r="H10" s="22"/>
      <c r="I10" s="22"/>
    </row>
    <row r="11" spans="2:9" ht="13.9" customHeight="1">
      <c r="B11" s="22"/>
      <c r="C11" s="22"/>
      <c r="D11" s="22"/>
      <c r="E11" s="22"/>
      <c r="F11" s="22"/>
      <c r="G11" s="22"/>
      <c r="H11" s="22"/>
      <c r="I11" s="22"/>
    </row>
    <row r="12" spans="2:9" ht="13.9" customHeight="1">
      <c r="B12" s="22"/>
      <c r="C12" s="22"/>
      <c r="D12" s="22"/>
      <c r="E12" s="22"/>
      <c r="F12" s="22"/>
      <c r="G12" s="22"/>
      <c r="H12" s="22"/>
      <c r="I12" s="22"/>
    </row>
    <row r="13" spans="2:9" ht="13.9" customHeight="1">
      <c r="B13" s="22"/>
      <c r="C13" s="22"/>
      <c r="D13" s="22"/>
      <c r="E13" s="22"/>
      <c r="F13" s="22"/>
      <c r="G13" s="22"/>
      <c r="H13" s="22"/>
      <c r="I13" s="22"/>
    </row>
    <row r="15" spans="2:9" ht="13.9" customHeight="1">
      <c r="B15" s="22" t="s">
        <v>481</v>
      </c>
      <c r="C15" s="22"/>
      <c r="D15" s="22"/>
      <c r="E15" s="22"/>
      <c r="F15" s="22"/>
      <c r="G15" s="22"/>
      <c r="H15" s="22"/>
      <c r="I15" s="22"/>
    </row>
    <row r="16" spans="2:9" ht="13.9" customHeight="1">
      <c r="B16" s="22"/>
      <c r="C16" s="22"/>
      <c r="D16" s="22"/>
      <c r="E16" s="22"/>
      <c r="F16" s="22"/>
      <c r="G16" s="22"/>
      <c r="H16" s="22"/>
      <c r="I16" s="22"/>
    </row>
    <row r="17" spans="2:9" ht="13.9" customHeight="1">
      <c r="B17" s="22"/>
      <c r="C17" s="22"/>
      <c r="D17" s="22"/>
      <c r="E17" s="22"/>
      <c r="F17" s="22"/>
      <c r="G17" s="22"/>
      <c r="H17" s="22"/>
      <c r="I17" s="22"/>
    </row>
    <row r="19" spans="2:9">
      <c r="B19" s="23" t="s">
        <v>474</v>
      </c>
      <c r="C19" s="23"/>
      <c r="D19" s="23"/>
      <c r="E19" s="23"/>
    </row>
    <row r="20" spans="2:9" ht="13.9" customHeight="1">
      <c r="B20" s="24" t="s">
        <v>483</v>
      </c>
      <c r="C20" s="24"/>
      <c r="D20" s="24"/>
      <c r="E20" s="24"/>
      <c r="F20" s="24"/>
      <c r="G20" s="24"/>
      <c r="H20" s="24"/>
      <c r="I20" s="24"/>
    </row>
    <row r="21" spans="2:9" ht="13.9" customHeight="1">
      <c r="B21" s="24"/>
      <c r="C21" s="24"/>
      <c r="D21" s="24"/>
      <c r="E21" s="24"/>
      <c r="F21" s="24"/>
      <c r="G21" s="24"/>
      <c r="H21" s="24"/>
      <c r="I21" s="24"/>
    </row>
    <row r="23" spans="2:9" ht="13.9" customHeight="1">
      <c r="B23" s="22" t="s">
        <v>475</v>
      </c>
      <c r="C23" s="22"/>
      <c r="D23" s="22"/>
      <c r="E23" s="22"/>
      <c r="F23" s="22"/>
      <c r="G23" s="22"/>
      <c r="H23" s="22"/>
      <c r="I23" s="22"/>
    </row>
    <row r="24" spans="2:9" ht="13.9" customHeight="1">
      <c r="B24" s="22"/>
      <c r="C24" s="22"/>
      <c r="D24" s="22"/>
      <c r="E24" s="22"/>
      <c r="F24" s="22"/>
      <c r="G24" s="22"/>
      <c r="H24" s="22"/>
      <c r="I24" s="22"/>
    </row>
    <row r="26" spans="2:9" ht="13.9" customHeight="1">
      <c r="B26" s="22" t="s">
        <v>476</v>
      </c>
      <c r="C26" s="22"/>
      <c r="D26" s="22"/>
      <c r="E26" s="22"/>
      <c r="F26" s="22"/>
      <c r="G26" s="22"/>
      <c r="H26" s="22"/>
      <c r="I26" s="22"/>
    </row>
    <row r="27" spans="2:9" ht="13.9" customHeight="1">
      <c r="B27" s="22"/>
      <c r="C27" s="22"/>
      <c r="D27" s="22"/>
      <c r="E27" s="22"/>
      <c r="F27" s="22"/>
      <c r="G27" s="22"/>
      <c r="H27" s="22"/>
      <c r="I27" s="22"/>
    </row>
    <row r="29" spans="2:9">
      <c r="B29" s="23" t="s">
        <v>477</v>
      </c>
      <c r="C29" s="23"/>
    </row>
    <row r="30" spans="2:9" ht="13.9" customHeight="1">
      <c r="B30" s="22" t="s">
        <v>478</v>
      </c>
      <c r="C30" s="22"/>
      <c r="D30" s="22"/>
      <c r="E30" s="22"/>
      <c r="F30" s="22"/>
      <c r="G30" s="22"/>
      <c r="H30" s="22"/>
      <c r="I30" s="22"/>
    </row>
    <row r="31" spans="2:9" ht="13.9" customHeight="1">
      <c r="B31" s="22"/>
      <c r="C31" s="22"/>
      <c r="D31" s="22"/>
      <c r="E31" s="22"/>
      <c r="F31" s="22"/>
      <c r="G31" s="22"/>
      <c r="H31" s="22"/>
      <c r="I31" s="22"/>
    </row>
    <row r="33" spans="2:9" ht="13.9" customHeight="1">
      <c r="B33" s="22" t="s">
        <v>479</v>
      </c>
      <c r="C33" s="22"/>
      <c r="D33" s="22"/>
      <c r="E33" s="22"/>
      <c r="F33" s="22"/>
      <c r="G33" s="22"/>
      <c r="H33" s="22"/>
      <c r="I33" s="22"/>
    </row>
    <row r="34" spans="2:9" ht="13.9" customHeight="1">
      <c r="B34" s="22"/>
      <c r="C34" s="22"/>
      <c r="D34" s="22"/>
      <c r="E34" s="22"/>
      <c r="F34" s="22"/>
      <c r="G34" s="22"/>
      <c r="H34" s="22"/>
      <c r="I34" s="22"/>
    </row>
    <row r="36" spans="2:9" ht="13.9" customHeight="1">
      <c r="B36" s="22" t="s">
        <v>480</v>
      </c>
      <c r="C36" s="22"/>
      <c r="D36" s="22"/>
      <c r="E36" s="22"/>
      <c r="F36" s="22"/>
      <c r="G36" s="22"/>
      <c r="H36" s="22"/>
      <c r="I36" s="22"/>
    </row>
    <row r="37" spans="2:9" ht="13.9" customHeight="1">
      <c r="B37" s="22"/>
      <c r="C37" s="22"/>
      <c r="D37" s="22"/>
      <c r="E37" s="22"/>
      <c r="F37" s="22"/>
      <c r="G37" s="22"/>
      <c r="H37" s="22"/>
      <c r="I37" s="22"/>
    </row>
    <row r="38" spans="2:9" ht="13.9" customHeight="1">
      <c r="B38" s="22"/>
      <c r="C38" s="22"/>
      <c r="D38" s="22"/>
      <c r="E38" s="22"/>
      <c r="F38" s="22"/>
      <c r="G38" s="22"/>
      <c r="H38" s="22"/>
      <c r="I38" s="22"/>
    </row>
  </sheetData>
  <mergeCells count="12">
    <mergeCell ref="B30:I31"/>
    <mergeCell ref="B33:I34"/>
    <mergeCell ref="B36:I38"/>
    <mergeCell ref="B5:C5"/>
    <mergeCell ref="B19:E19"/>
    <mergeCell ref="B20:I21"/>
    <mergeCell ref="B23:I24"/>
    <mergeCell ref="B26:I27"/>
    <mergeCell ref="B29:C29"/>
    <mergeCell ref="B6:I9"/>
    <mergeCell ref="B10:I13"/>
    <mergeCell ref="B15:I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1"/>
  <sheetViews>
    <sheetView zoomScale="85" zoomScaleNormal="85" workbookViewId="0">
      <pane ySplit="1" topLeftCell="A263" activePane="bottomLeft" state="frozen"/>
      <selection pane="bottomLeft" activeCell="B294" sqref="B294"/>
    </sheetView>
  </sheetViews>
  <sheetFormatPr defaultRowHeight="13.5"/>
  <cols>
    <col min="1" max="1" width="17" customWidth="1"/>
    <col min="2" max="2" width="18" customWidth="1"/>
    <col min="3" max="4" width="19" customWidth="1"/>
    <col min="5" max="6" width="17" customWidth="1"/>
    <col min="7" max="7" width="17.75" customWidth="1"/>
    <col min="8" max="11" width="17" customWidth="1"/>
    <col min="12" max="16" width="17" style="7" customWidth="1"/>
    <col min="17" max="17" width="19.1875" style="10" bestFit="1" customWidth="1"/>
    <col min="18" max="19" width="17" customWidth="1"/>
  </cols>
  <sheetData>
    <row r="1" spans="1:19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361</v>
      </c>
      <c r="G1" s="1" t="s">
        <v>428</v>
      </c>
      <c r="H1" s="1" t="s">
        <v>429</v>
      </c>
      <c r="I1" s="1" t="s">
        <v>5</v>
      </c>
      <c r="J1" s="1" t="s">
        <v>430</v>
      </c>
      <c r="K1" s="1" t="s">
        <v>6</v>
      </c>
      <c r="L1" s="6" t="s">
        <v>431</v>
      </c>
      <c r="M1" s="6" t="s">
        <v>432</v>
      </c>
      <c r="N1" s="6" t="s">
        <v>435</v>
      </c>
      <c r="O1" s="6" t="s">
        <v>433</v>
      </c>
      <c r="P1" s="6" t="s">
        <v>434</v>
      </c>
      <c r="Q1" s="9" t="s">
        <v>436</v>
      </c>
      <c r="R1" s="1" t="s">
        <v>7</v>
      </c>
      <c r="S1" s="1" t="s">
        <v>8</v>
      </c>
    </row>
    <row r="2" spans="1:19">
      <c r="A2" t="s">
        <v>9</v>
      </c>
      <c r="B2" s="3">
        <v>46120</v>
      </c>
      <c r="C2" t="s">
        <v>10</v>
      </c>
      <c r="D2" t="s">
        <v>11</v>
      </c>
      <c r="E2" t="s">
        <v>12</v>
      </c>
      <c r="F2" t="str">
        <f>_xlfn.XLOOKUP(E2,Product_Lookup!$A$2:$A$14,Product_Lookup!$B$2:$B$14)</f>
        <v>Desk</v>
      </c>
      <c r="G2" t="str">
        <f>_xlfn.XLOOKUP(Sales_Data!E2,Product_Lookup!$A$2:$A$14,Product_Lookup!$C$2:$C$14)</f>
        <v>Furniture</v>
      </c>
      <c r="H2">
        <f>_xlfn.XLOOKUP(E2,Product_Lookup!$A$2:$A$14,Product_Lookup!$D$2:$D$14)</f>
        <v>210</v>
      </c>
      <c r="I2">
        <v>3</v>
      </c>
      <c r="J2">
        <f>H2*I2</f>
        <v>630</v>
      </c>
      <c r="K2" s="4">
        <v>0.2</v>
      </c>
      <c r="L2" s="7">
        <f>J2*K2</f>
        <v>126</v>
      </c>
      <c r="M2" s="7">
        <f>J2-L2</f>
        <v>504</v>
      </c>
      <c r="N2" s="7">
        <f>_xlfn.XLOOKUP(E2,Product_Lookup!$A$2:$A$14,Product_Lookup!$E$2:$E$14)</f>
        <v>132</v>
      </c>
      <c r="O2" s="7">
        <f>N2*I2</f>
        <v>396</v>
      </c>
      <c r="P2" s="7">
        <f>M2-O2</f>
        <v>108</v>
      </c>
      <c r="Q2" s="10">
        <f>P2/M2</f>
        <v>0.21428571428571427</v>
      </c>
      <c r="R2" t="s">
        <v>13</v>
      </c>
      <c r="S2" t="s">
        <v>14</v>
      </c>
    </row>
    <row r="3" spans="1:19">
      <c r="A3" t="s">
        <v>15</v>
      </c>
      <c r="B3" s="3">
        <v>46093</v>
      </c>
      <c r="C3" t="s">
        <v>10</v>
      </c>
      <c r="D3" t="s">
        <v>16</v>
      </c>
      <c r="E3" t="s">
        <v>17</v>
      </c>
      <c r="F3" t="str">
        <f>_xlfn.XLOOKUP(E3,Product_Lookup!$A$2:$A$14,Product_Lookup!$B$2:$B$14)</f>
        <v>Storage Box</v>
      </c>
      <c r="G3" t="str">
        <f>_xlfn.XLOOKUP(Sales_Data!E3,Product_Lookup!$A$2:$A$14,Product_Lookup!$C$2:$C$14)</f>
        <v>Storage</v>
      </c>
      <c r="H3">
        <f>_xlfn.XLOOKUP(E3,Product_Lookup!$A$2:$A$14,Product_Lookup!$D$2:$D$14)</f>
        <v>26</v>
      </c>
      <c r="I3">
        <v>6</v>
      </c>
      <c r="J3">
        <f t="shared" ref="J3:J66" si="0">H3*I3</f>
        <v>156</v>
      </c>
      <c r="K3" s="4">
        <v>0.15</v>
      </c>
      <c r="L3" s="7">
        <f t="shared" ref="L3:L66" si="1">J3*K3</f>
        <v>23.4</v>
      </c>
      <c r="M3" s="7">
        <f t="shared" ref="M3:M66" si="2">J3-L3</f>
        <v>132.6</v>
      </c>
      <c r="N3" s="7">
        <f>_xlfn.XLOOKUP(E3,Product_Lookup!$A$2:$A$14,Product_Lookup!$E$2:$E$14)</f>
        <v>11</v>
      </c>
      <c r="O3" s="7">
        <f t="shared" ref="O3:O66" si="3">N3*I3</f>
        <v>66</v>
      </c>
      <c r="P3" s="7">
        <f t="shared" ref="P3:P66" si="4">M3-O3</f>
        <v>66.599999999999994</v>
      </c>
      <c r="Q3" s="10">
        <f t="shared" ref="Q3:Q66" si="5">P3/M3</f>
        <v>0.50226244343891402</v>
      </c>
      <c r="R3" t="s">
        <v>13</v>
      </c>
      <c r="S3" t="s">
        <v>18</v>
      </c>
    </row>
    <row r="4" spans="1:19">
      <c r="A4" t="s">
        <v>19</v>
      </c>
      <c r="B4" s="3">
        <v>46027</v>
      </c>
      <c r="C4" t="s">
        <v>10</v>
      </c>
      <c r="D4" t="s">
        <v>20</v>
      </c>
      <c r="E4" t="s">
        <v>12</v>
      </c>
      <c r="F4" t="str">
        <f>_xlfn.XLOOKUP(E4,Product_Lookup!$A$2:$A$14,Product_Lookup!$B$2:$B$14)</f>
        <v>Desk</v>
      </c>
      <c r="G4" t="str">
        <f>_xlfn.XLOOKUP(Sales_Data!E4,Product_Lookup!$A$2:$A$14,Product_Lookup!$C$2:$C$14)</f>
        <v>Furniture</v>
      </c>
      <c r="H4">
        <f>_xlfn.XLOOKUP(E4,Product_Lookup!$A$2:$A$14,Product_Lookup!$D$2:$D$14)</f>
        <v>210</v>
      </c>
      <c r="I4">
        <v>2</v>
      </c>
      <c r="J4">
        <f t="shared" si="0"/>
        <v>420</v>
      </c>
      <c r="K4" s="4">
        <v>0.25</v>
      </c>
      <c r="L4" s="7">
        <f t="shared" si="1"/>
        <v>105</v>
      </c>
      <c r="M4" s="7">
        <f t="shared" si="2"/>
        <v>315</v>
      </c>
      <c r="N4" s="7">
        <f>_xlfn.XLOOKUP(E4,Product_Lookup!$A$2:$A$14,Product_Lookup!$E$2:$E$14)</f>
        <v>132</v>
      </c>
      <c r="O4" s="7">
        <f t="shared" si="3"/>
        <v>264</v>
      </c>
      <c r="P4" s="7">
        <f t="shared" si="4"/>
        <v>51</v>
      </c>
      <c r="Q4" s="10">
        <f t="shared" si="5"/>
        <v>0.16190476190476191</v>
      </c>
      <c r="R4" t="s">
        <v>21</v>
      </c>
      <c r="S4" t="s">
        <v>22</v>
      </c>
    </row>
    <row r="5" spans="1:19">
      <c r="A5" t="s">
        <v>23</v>
      </c>
      <c r="B5" s="3">
        <v>46190</v>
      </c>
      <c r="C5" t="s">
        <v>24</v>
      </c>
      <c r="D5" t="s">
        <v>16</v>
      </c>
      <c r="E5" t="s">
        <v>25</v>
      </c>
      <c r="F5" t="str">
        <f>_xlfn.XLOOKUP(E5,Product_Lookup!$A$2:$A$14,Product_Lookup!$B$2:$B$14)</f>
        <v>Table Lamp</v>
      </c>
      <c r="G5" t="str">
        <f>_xlfn.XLOOKUP(Sales_Data!E5,Product_Lookup!$A$2:$A$14,Product_Lookup!$C$2:$C$14)</f>
        <v>Lighting</v>
      </c>
      <c r="H5">
        <f>_xlfn.XLOOKUP(E5,Product_Lookup!$A$2:$A$14,Product_Lookup!$D$2:$D$14)</f>
        <v>62</v>
      </c>
      <c r="I5">
        <v>4</v>
      </c>
      <c r="J5">
        <f t="shared" si="0"/>
        <v>248</v>
      </c>
      <c r="K5" s="4">
        <v>0</v>
      </c>
      <c r="L5" s="7">
        <f t="shared" si="1"/>
        <v>0</v>
      </c>
      <c r="M5" s="7">
        <f t="shared" si="2"/>
        <v>248</v>
      </c>
      <c r="N5" s="7">
        <f>_xlfn.XLOOKUP(E5,Product_Lookup!$A$2:$A$14,Product_Lookup!$E$2:$E$14)</f>
        <v>31</v>
      </c>
      <c r="O5" s="7">
        <f t="shared" si="3"/>
        <v>124</v>
      </c>
      <c r="P5" s="7">
        <f t="shared" si="4"/>
        <v>124</v>
      </c>
      <c r="Q5" s="10">
        <f t="shared" si="5"/>
        <v>0.5</v>
      </c>
      <c r="R5" t="s">
        <v>13</v>
      </c>
      <c r="S5" t="s">
        <v>18</v>
      </c>
    </row>
    <row r="6" spans="1:19">
      <c r="A6" t="s">
        <v>26</v>
      </c>
      <c r="B6" s="3">
        <v>46095</v>
      </c>
      <c r="C6" t="s">
        <v>24</v>
      </c>
      <c r="D6" t="s">
        <v>20</v>
      </c>
      <c r="E6" t="s">
        <v>27</v>
      </c>
      <c r="F6" t="str">
        <f>_xlfn.XLOOKUP(E6,Product_Lookup!$A$2:$A$14,Product_Lookup!$B$2:$B$14)</f>
        <v>Kettle</v>
      </c>
      <c r="G6" t="str">
        <f>_xlfn.XLOOKUP(Sales_Data!E6,Product_Lookup!$A$2:$A$14,Product_Lookup!$C$2:$C$14)</f>
        <v>Kitchenware</v>
      </c>
      <c r="H6">
        <f>_xlfn.XLOOKUP(E6,Product_Lookup!$A$2:$A$14,Product_Lookup!$D$2:$D$14)</f>
        <v>38</v>
      </c>
      <c r="I6">
        <v>2</v>
      </c>
      <c r="J6">
        <f t="shared" si="0"/>
        <v>76</v>
      </c>
      <c r="K6" s="4">
        <v>0</v>
      </c>
      <c r="L6" s="7">
        <f t="shared" si="1"/>
        <v>0</v>
      </c>
      <c r="M6" s="7">
        <f t="shared" si="2"/>
        <v>76</v>
      </c>
      <c r="N6" s="7">
        <f>_xlfn.XLOOKUP(E6,Product_Lookup!$A$2:$A$14,Product_Lookup!$E$2:$E$14)</f>
        <v>21</v>
      </c>
      <c r="O6" s="7">
        <f t="shared" si="3"/>
        <v>42</v>
      </c>
      <c r="P6" s="7">
        <f t="shared" si="4"/>
        <v>34</v>
      </c>
      <c r="Q6" s="10">
        <f t="shared" si="5"/>
        <v>0.44736842105263158</v>
      </c>
      <c r="R6" t="s">
        <v>13</v>
      </c>
      <c r="S6" t="s">
        <v>14</v>
      </c>
    </row>
    <row r="7" spans="1:19">
      <c r="A7" t="s">
        <v>28</v>
      </c>
      <c r="B7" s="3">
        <v>46194</v>
      </c>
      <c r="C7" t="s">
        <v>29</v>
      </c>
      <c r="D7" t="s">
        <v>16</v>
      </c>
      <c r="E7" t="s">
        <v>30</v>
      </c>
      <c r="F7" t="str">
        <f>_xlfn.XLOOKUP(E7,Product_Lookup!$A$2:$A$14,Product_Lookup!$B$2:$B$14)</f>
        <v>Dining Chair</v>
      </c>
      <c r="G7" t="str">
        <f>_xlfn.XLOOKUP(Sales_Data!E7,Product_Lookup!$A$2:$A$14,Product_Lookup!$C$2:$C$14)</f>
        <v>Furniture</v>
      </c>
      <c r="H7">
        <f>_xlfn.XLOOKUP(E7,Product_Lookup!$A$2:$A$14,Product_Lookup!$D$2:$D$14)</f>
        <v>95</v>
      </c>
      <c r="I7">
        <v>1</v>
      </c>
      <c r="J7">
        <f t="shared" si="0"/>
        <v>95</v>
      </c>
      <c r="K7" s="4">
        <v>0.2</v>
      </c>
      <c r="L7" s="7">
        <f t="shared" si="1"/>
        <v>19</v>
      </c>
      <c r="M7" s="7">
        <f t="shared" si="2"/>
        <v>76</v>
      </c>
      <c r="N7" s="7">
        <f>_xlfn.XLOOKUP(E7,Product_Lookup!$A$2:$A$14,Product_Lookup!$E$2:$E$14)</f>
        <v>54</v>
      </c>
      <c r="O7" s="7">
        <f t="shared" si="3"/>
        <v>54</v>
      </c>
      <c r="P7" s="7">
        <f t="shared" si="4"/>
        <v>22</v>
      </c>
      <c r="Q7" s="10">
        <f t="shared" si="5"/>
        <v>0.28947368421052633</v>
      </c>
      <c r="R7" t="s">
        <v>13</v>
      </c>
      <c r="S7" t="s">
        <v>22</v>
      </c>
    </row>
    <row r="8" spans="1:19">
      <c r="A8" t="s">
        <v>31</v>
      </c>
      <c r="B8" s="3">
        <v>46104</v>
      </c>
      <c r="C8" t="s">
        <v>29</v>
      </c>
      <c r="D8" t="s">
        <v>16</v>
      </c>
      <c r="E8" t="s">
        <v>32</v>
      </c>
      <c r="F8" t="str">
        <f>_xlfn.XLOOKUP(E8,Product_Lookup!$A$2:$A$14,Product_Lookup!$B$2:$B$14)</f>
        <v>Sofa</v>
      </c>
      <c r="G8" t="str">
        <f>_xlfn.XLOOKUP(Sales_Data!E8,Product_Lookup!$A$2:$A$14,Product_Lookup!$C$2:$C$14)</f>
        <v>Furniture</v>
      </c>
      <c r="H8">
        <f>_xlfn.XLOOKUP(E8,Product_Lookup!$A$2:$A$14,Product_Lookup!$D$2:$D$14)</f>
        <v>420</v>
      </c>
      <c r="I8">
        <v>3</v>
      </c>
      <c r="J8">
        <f t="shared" si="0"/>
        <v>1260</v>
      </c>
      <c r="K8" s="4">
        <v>0.1</v>
      </c>
      <c r="L8" s="7">
        <f t="shared" si="1"/>
        <v>126</v>
      </c>
      <c r="M8" s="7">
        <f t="shared" si="2"/>
        <v>1134</v>
      </c>
      <c r="N8" s="7">
        <f>_xlfn.XLOOKUP(E8,Product_Lookup!$A$2:$A$14,Product_Lookup!$E$2:$E$14)</f>
        <v>280</v>
      </c>
      <c r="O8" s="7">
        <f t="shared" si="3"/>
        <v>840</v>
      </c>
      <c r="P8" s="7">
        <f t="shared" si="4"/>
        <v>294</v>
      </c>
      <c r="Q8" s="10">
        <f t="shared" si="5"/>
        <v>0.25925925925925924</v>
      </c>
      <c r="R8" t="s">
        <v>13</v>
      </c>
      <c r="S8" t="s">
        <v>33</v>
      </c>
    </row>
    <row r="9" spans="1:19">
      <c r="A9" t="s">
        <v>34</v>
      </c>
      <c r="B9" s="3">
        <v>46060</v>
      </c>
      <c r="C9" t="s">
        <v>29</v>
      </c>
      <c r="D9" t="s">
        <v>20</v>
      </c>
      <c r="E9" t="s">
        <v>30</v>
      </c>
      <c r="F9" t="str">
        <f>_xlfn.XLOOKUP(E9,Product_Lookup!$A$2:$A$14,Product_Lookup!$B$2:$B$14)</f>
        <v>Dining Chair</v>
      </c>
      <c r="G9" t="str">
        <f>_xlfn.XLOOKUP(Sales_Data!E9,Product_Lookup!$A$2:$A$14,Product_Lookup!$C$2:$C$14)</f>
        <v>Furniture</v>
      </c>
      <c r="H9">
        <f>_xlfn.XLOOKUP(E9,Product_Lookup!$A$2:$A$14,Product_Lookup!$D$2:$D$14)</f>
        <v>95</v>
      </c>
      <c r="I9">
        <v>7</v>
      </c>
      <c r="J9">
        <f t="shared" si="0"/>
        <v>665</v>
      </c>
      <c r="K9" s="4">
        <v>0.05</v>
      </c>
      <c r="L9" s="7">
        <f t="shared" si="1"/>
        <v>33.25</v>
      </c>
      <c r="M9" s="7">
        <f t="shared" si="2"/>
        <v>631.75</v>
      </c>
      <c r="N9" s="7">
        <f>_xlfn.XLOOKUP(E9,Product_Lookup!$A$2:$A$14,Product_Lookup!$E$2:$E$14)</f>
        <v>54</v>
      </c>
      <c r="O9" s="7">
        <f t="shared" si="3"/>
        <v>378</v>
      </c>
      <c r="P9" s="7">
        <f t="shared" si="4"/>
        <v>253.75</v>
      </c>
      <c r="Q9" s="10">
        <f t="shared" si="5"/>
        <v>0.40166204986149584</v>
      </c>
      <c r="R9" t="s">
        <v>13</v>
      </c>
      <c r="S9" t="s">
        <v>33</v>
      </c>
    </row>
    <row r="10" spans="1:19">
      <c r="A10" t="s">
        <v>35</v>
      </c>
      <c r="B10" s="3">
        <v>46081</v>
      </c>
      <c r="C10" t="s">
        <v>29</v>
      </c>
      <c r="D10" t="s">
        <v>20</v>
      </c>
      <c r="E10" t="s">
        <v>12</v>
      </c>
      <c r="F10" t="str">
        <f>_xlfn.XLOOKUP(E10,Product_Lookup!$A$2:$A$14,Product_Lookup!$B$2:$B$14)</f>
        <v>Desk</v>
      </c>
      <c r="G10" t="str">
        <f>_xlfn.XLOOKUP(Sales_Data!E10,Product_Lookup!$A$2:$A$14,Product_Lookup!$C$2:$C$14)</f>
        <v>Furniture</v>
      </c>
      <c r="H10">
        <f>_xlfn.XLOOKUP(E10,Product_Lookup!$A$2:$A$14,Product_Lookup!$D$2:$D$14)</f>
        <v>210</v>
      </c>
      <c r="I10">
        <v>4</v>
      </c>
      <c r="J10">
        <f t="shared" si="0"/>
        <v>840</v>
      </c>
      <c r="K10" s="4">
        <v>0</v>
      </c>
      <c r="L10" s="7">
        <f t="shared" si="1"/>
        <v>0</v>
      </c>
      <c r="M10" s="7">
        <f t="shared" si="2"/>
        <v>840</v>
      </c>
      <c r="N10" s="7">
        <f>_xlfn.XLOOKUP(E10,Product_Lookup!$A$2:$A$14,Product_Lookup!$E$2:$E$14)</f>
        <v>132</v>
      </c>
      <c r="O10" s="7">
        <f t="shared" si="3"/>
        <v>528</v>
      </c>
      <c r="P10" s="7">
        <f t="shared" si="4"/>
        <v>312</v>
      </c>
      <c r="Q10" s="10">
        <f t="shared" si="5"/>
        <v>0.37142857142857144</v>
      </c>
      <c r="R10" t="s">
        <v>36</v>
      </c>
      <c r="S10" t="s">
        <v>14</v>
      </c>
    </row>
    <row r="11" spans="1:19">
      <c r="A11" t="s">
        <v>37</v>
      </c>
      <c r="B11" s="3">
        <v>46094</v>
      </c>
      <c r="C11" t="s">
        <v>38</v>
      </c>
      <c r="D11" t="s">
        <v>16</v>
      </c>
      <c r="E11" t="s">
        <v>32</v>
      </c>
      <c r="F11" t="str">
        <f>_xlfn.XLOOKUP(E11,Product_Lookup!$A$2:$A$14,Product_Lookup!$B$2:$B$14)</f>
        <v>Sofa</v>
      </c>
      <c r="G11" t="str">
        <f>_xlfn.XLOOKUP(Sales_Data!E11,Product_Lookup!$A$2:$A$14,Product_Lookup!$C$2:$C$14)</f>
        <v>Furniture</v>
      </c>
      <c r="H11">
        <f>_xlfn.XLOOKUP(E11,Product_Lookup!$A$2:$A$14,Product_Lookup!$D$2:$D$14)</f>
        <v>420</v>
      </c>
      <c r="I11">
        <v>7</v>
      </c>
      <c r="J11">
        <f t="shared" si="0"/>
        <v>2940</v>
      </c>
      <c r="K11" s="4">
        <v>0.1</v>
      </c>
      <c r="L11" s="7">
        <f t="shared" si="1"/>
        <v>294</v>
      </c>
      <c r="M11" s="7">
        <f t="shared" si="2"/>
        <v>2646</v>
      </c>
      <c r="N11" s="7">
        <f>_xlfn.XLOOKUP(E11,Product_Lookup!$A$2:$A$14,Product_Lookup!$E$2:$E$14)</f>
        <v>280</v>
      </c>
      <c r="O11" s="7">
        <f t="shared" si="3"/>
        <v>1960</v>
      </c>
      <c r="P11" s="7">
        <f t="shared" si="4"/>
        <v>686</v>
      </c>
      <c r="Q11" s="10">
        <f t="shared" si="5"/>
        <v>0.25925925925925924</v>
      </c>
      <c r="R11" t="s">
        <v>13</v>
      </c>
      <c r="S11" t="s">
        <v>39</v>
      </c>
    </row>
    <row r="12" spans="1:19">
      <c r="A12" t="s">
        <v>40</v>
      </c>
      <c r="B12" s="3">
        <v>46033</v>
      </c>
      <c r="C12" t="s">
        <v>24</v>
      </c>
      <c r="D12" t="s">
        <v>16</v>
      </c>
      <c r="E12" t="s">
        <v>41</v>
      </c>
      <c r="F12" t="str">
        <f>_xlfn.XLOOKUP(E12,Product_Lookup!$A$2:$A$14,Product_Lookup!$B$2:$B$14)</f>
        <v>Floor Lamp</v>
      </c>
      <c r="G12" t="str">
        <f>_xlfn.XLOOKUP(Sales_Data!E12,Product_Lookup!$A$2:$A$14,Product_Lookup!$C$2:$C$14)</f>
        <v>Lighting</v>
      </c>
      <c r="H12">
        <f>_xlfn.XLOOKUP(E12,Product_Lookup!$A$2:$A$14,Product_Lookup!$D$2:$D$14)</f>
        <v>125</v>
      </c>
      <c r="I12">
        <v>6</v>
      </c>
      <c r="J12">
        <f t="shared" si="0"/>
        <v>750</v>
      </c>
      <c r="K12" s="4">
        <v>0.15</v>
      </c>
      <c r="L12" s="7">
        <f t="shared" si="1"/>
        <v>112.5</v>
      </c>
      <c r="M12" s="7">
        <f t="shared" si="2"/>
        <v>637.5</v>
      </c>
      <c r="N12" s="7">
        <f>_xlfn.XLOOKUP(E12,Product_Lookup!$A$2:$A$14,Product_Lookup!$E$2:$E$14)</f>
        <v>73</v>
      </c>
      <c r="O12" s="7">
        <f t="shared" si="3"/>
        <v>438</v>
      </c>
      <c r="P12" s="7">
        <f t="shared" si="4"/>
        <v>199.5</v>
      </c>
      <c r="Q12" s="10">
        <f t="shared" si="5"/>
        <v>0.31294117647058822</v>
      </c>
      <c r="R12" t="s">
        <v>13</v>
      </c>
      <c r="S12" t="s">
        <v>42</v>
      </c>
    </row>
    <row r="13" spans="1:19">
      <c r="A13" t="s">
        <v>43</v>
      </c>
      <c r="B13" s="3">
        <v>46055</v>
      </c>
      <c r="C13" t="s">
        <v>44</v>
      </c>
      <c r="D13" t="s">
        <v>11</v>
      </c>
      <c r="E13" t="s">
        <v>45</v>
      </c>
      <c r="F13" t="str">
        <f>_xlfn.XLOOKUP(E13,Product_Lookup!$A$2:$A$14,Product_Lookup!$B$2:$B$14)</f>
        <v>Cushion Set</v>
      </c>
      <c r="G13" t="str">
        <f>_xlfn.XLOOKUP(Sales_Data!E13,Product_Lookup!$A$2:$A$14,Product_Lookup!$C$2:$C$14)</f>
        <v>Home Accessories</v>
      </c>
      <c r="H13">
        <f>_xlfn.XLOOKUP(E13,Product_Lookup!$A$2:$A$14,Product_Lookup!$D$2:$D$14)</f>
        <v>32</v>
      </c>
      <c r="I13">
        <v>5</v>
      </c>
      <c r="J13">
        <f t="shared" si="0"/>
        <v>160</v>
      </c>
      <c r="K13" s="4">
        <v>0.1</v>
      </c>
      <c r="L13" s="7">
        <f t="shared" si="1"/>
        <v>16</v>
      </c>
      <c r="M13" s="7">
        <f t="shared" si="2"/>
        <v>144</v>
      </c>
      <c r="N13" s="7">
        <f>_xlfn.XLOOKUP(E13,Product_Lookup!$A$2:$A$14,Product_Lookup!$E$2:$E$14)</f>
        <v>14</v>
      </c>
      <c r="O13" s="7">
        <f t="shared" si="3"/>
        <v>70</v>
      </c>
      <c r="P13" s="7">
        <f t="shared" si="4"/>
        <v>74</v>
      </c>
      <c r="Q13" s="10">
        <f t="shared" si="5"/>
        <v>0.51388888888888884</v>
      </c>
      <c r="R13" t="s">
        <v>13</v>
      </c>
      <c r="S13" t="s">
        <v>33</v>
      </c>
    </row>
    <row r="14" spans="1:19">
      <c r="A14" t="s">
        <v>46</v>
      </c>
      <c r="B14" s="3">
        <v>46176</v>
      </c>
      <c r="C14" t="s">
        <v>24</v>
      </c>
      <c r="D14" t="s">
        <v>20</v>
      </c>
      <c r="E14" t="s">
        <v>27</v>
      </c>
      <c r="F14" t="str">
        <f>_xlfn.XLOOKUP(E14,Product_Lookup!$A$2:$A$14,Product_Lookup!$B$2:$B$14)</f>
        <v>Kettle</v>
      </c>
      <c r="G14" t="str">
        <f>_xlfn.XLOOKUP(Sales_Data!E14,Product_Lookup!$A$2:$A$14,Product_Lookup!$C$2:$C$14)</f>
        <v>Kitchenware</v>
      </c>
      <c r="H14">
        <f>_xlfn.XLOOKUP(E14,Product_Lookup!$A$2:$A$14,Product_Lookup!$D$2:$D$14)</f>
        <v>38</v>
      </c>
      <c r="I14">
        <v>6</v>
      </c>
      <c r="J14">
        <f t="shared" si="0"/>
        <v>228</v>
      </c>
      <c r="K14" s="4">
        <v>0</v>
      </c>
      <c r="L14" s="7">
        <f t="shared" si="1"/>
        <v>0</v>
      </c>
      <c r="M14" s="7">
        <f t="shared" si="2"/>
        <v>228</v>
      </c>
      <c r="N14" s="7">
        <f>_xlfn.XLOOKUP(E14,Product_Lookup!$A$2:$A$14,Product_Lookup!$E$2:$E$14)</f>
        <v>21</v>
      </c>
      <c r="O14" s="7">
        <f t="shared" si="3"/>
        <v>126</v>
      </c>
      <c r="P14" s="7">
        <f t="shared" si="4"/>
        <v>102</v>
      </c>
      <c r="Q14" s="10">
        <f t="shared" si="5"/>
        <v>0.44736842105263158</v>
      </c>
      <c r="R14" t="s">
        <v>13</v>
      </c>
      <c r="S14" t="s">
        <v>42</v>
      </c>
    </row>
    <row r="15" spans="1:19">
      <c r="A15" t="s">
        <v>47</v>
      </c>
      <c r="B15" s="3">
        <v>46128</v>
      </c>
      <c r="C15" t="s">
        <v>24</v>
      </c>
      <c r="D15" t="s">
        <v>16</v>
      </c>
      <c r="E15" t="s">
        <v>30</v>
      </c>
      <c r="F15" t="str">
        <f>_xlfn.XLOOKUP(E15,Product_Lookup!$A$2:$A$14,Product_Lookup!$B$2:$B$14)</f>
        <v>Dining Chair</v>
      </c>
      <c r="G15" t="str">
        <f>_xlfn.XLOOKUP(Sales_Data!E15,Product_Lookup!$A$2:$A$14,Product_Lookup!$C$2:$C$14)</f>
        <v>Furniture</v>
      </c>
      <c r="H15">
        <f>_xlfn.XLOOKUP(E15,Product_Lookup!$A$2:$A$14,Product_Lookup!$D$2:$D$14)</f>
        <v>95</v>
      </c>
      <c r="I15">
        <v>6</v>
      </c>
      <c r="J15">
        <f t="shared" si="0"/>
        <v>570</v>
      </c>
      <c r="K15" s="4">
        <v>0.25</v>
      </c>
      <c r="L15" s="7">
        <f t="shared" si="1"/>
        <v>142.5</v>
      </c>
      <c r="M15" s="7">
        <f t="shared" si="2"/>
        <v>427.5</v>
      </c>
      <c r="N15" s="7">
        <f>_xlfn.XLOOKUP(E15,Product_Lookup!$A$2:$A$14,Product_Lookup!$E$2:$E$14)</f>
        <v>54</v>
      </c>
      <c r="O15" s="7">
        <f t="shared" si="3"/>
        <v>324</v>
      </c>
      <c r="P15" s="7">
        <f t="shared" si="4"/>
        <v>103.5</v>
      </c>
      <c r="Q15" s="10">
        <f t="shared" si="5"/>
        <v>0.24210526315789474</v>
      </c>
      <c r="R15" t="s">
        <v>13</v>
      </c>
      <c r="S15" t="s">
        <v>48</v>
      </c>
    </row>
    <row r="16" spans="1:19">
      <c r="A16" t="s">
        <v>49</v>
      </c>
      <c r="B16" s="3">
        <v>46093</v>
      </c>
      <c r="C16" t="s">
        <v>10</v>
      </c>
      <c r="D16" t="s">
        <v>20</v>
      </c>
      <c r="E16" t="s">
        <v>17</v>
      </c>
      <c r="F16" t="str">
        <f>_xlfn.XLOOKUP(E16,Product_Lookup!$A$2:$A$14,Product_Lookup!$B$2:$B$14)</f>
        <v>Storage Box</v>
      </c>
      <c r="G16" t="str">
        <f>_xlfn.XLOOKUP(Sales_Data!E16,Product_Lookup!$A$2:$A$14,Product_Lookup!$C$2:$C$14)</f>
        <v>Storage</v>
      </c>
      <c r="H16">
        <f>_xlfn.XLOOKUP(E16,Product_Lookup!$A$2:$A$14,Product_Lookup!$D$2:$D$14)</f>
        <v>26</v>
      </c>
      <c r="I16">
        <v>7</v>
      </c>
      <c r="J16">
        <f t="shared" si="0"/>
        <v>182</v>
      </c>
      <c r="K16" s="4">
        <v>0</v>
      </c>
      <c r="L16" s="7">
        <f t="shared" si="1"/>
        <v>0</v>
      </c>
      <c r="M16" s="7">
        <f t="shared" si="2"/>
        <v>182</v>
      </c>
      <c r="N16" s="7">
        <f>_xlfn.XLOOKUP(E16,Product_Lookup!$A$2:$A$14,Product_Lookup!$E$2:$E$14)</f>
        <v>11</v>
      </c>
      <c r="O16" s="7">
        <f t="shared" si="3"/>
        <v>77</v>
      </c>
      <c r="P16" s="7">
        <f t="shared" si="4"/>
        <v>105</v>
      </c>
      <c r="Q16" s="10">
        <f t="shared" si="5"/>
        <v>0.57692307692307687</v>
      </c>
      <c r="R16" t="s">
        <v>36</v>
      </c>
      <c r="S16" t="s">
        <v>22</v>
      </c>
    </row>
    <row r="17" spans="1:19">
      <c r="A17" t="s">
        <v>50</v>
      </c>
      <c r="B17" s="3">
        <v>46135</v>
      </c>
      <c r="C17" t="s">
        <v>24</v>
      </c>
      <c r="D17" t="s">
        <v>16</v>
      </c>
      <c r="E17" t="s">
        <v>27</v>
      </c>
      <c r="F17" t="str">
        <f>_xlfn.XLOOKUP(E17,Product_Lookup!$A$2:$A$14,Product_Lookup!$B$2:$B$14)</f>
        <v>Kettle</v>
      </c>
      <c r="G17" t="str">
        <f>_xlfn.XLOOKUP(Sales_Data!E17,Product_Lookup!$A$2:$A$14,Product_Lookup!$C$2:$C$14)</f>
        <v>Kitchenware</v>
      </c>
      <c r="H17">
        <f>_xlfn.XLOOKUP(E17,Product_Lookup!$A$2:$A$14,Product_Lookup!$D$2:$D$14)</f>
        <v>38</v>
      </c>
      <c r="I17">
        <v>2</v>
      </c>
      <c r="J17">
        <f t="shared" si="0"/>
        <v>76</v>
      </c>
      <c r="K17" s="4">
        <v>0.05</v>
      </c>
      <c r="L17" s="7">
        <f t="shared" si="1"/>
        <v>3.8000000000000003</v>
      </c>
      <c r="M17" s="7">
        <f t="shared" si="2"/>
        <v>72.2</v>
      </c>
      <c r="N17" s="7">
        <f>_xlfn.XLOOKUP(E17,Product_Lookup!$A$2:$A$14,Product_Lookup!$E$2:$E$14)</f>
        <v>21</v>
      </c>
      <c r="O17" s="7">
        <f t="shared" si="3"/>
        <v>42</v>
      </c>
      <c r="P17" s="7">
        <f t="shared" si="4"/>
        <v>30.200000000000003</v>
      </c>
      <c r="Q17" s="10">
        <f t="shared" si="5"/>
        <v>0.4182825484764543</v>
      </c>
      <c r="R17" t="s">
        <v>13</v>
      </c>
      <c r="S17" t="s">
        <v>33</v>
      </c>
    </row>
    <row r="18" spans="1:19">
      <c r="A18" t="s">
        <v>51</v>
      </c>
      <c r="B18" s="3">
        <v>46193</v>
      </c>
      <c r="C18" t="s">
        <v>29</v>
      </c>
      <c r="D18" t="s">
        <v>20</v>
      </c>
      <c r="E18" t="s">
        <v>27</v>
      </c>
      <c r="F18" t="str">
        <f>_xlfn.XLOOKUP(E18,Product_Lookup!$A$2:$A$14,Product_Lookup!$B$2:$B$14)</f>
        <v>Kettle</v>
      </c>
      <c r="G18" t="str">
        <f>_xlfn.XLOOKUP(Sales_Data!E18,Product_Lookup!$A$2:$A$14,Product_Lookup!$C$2:$C$14)</f>
        <v>Kitchenware</v>
      </c>
      <c r="H18">
        <f>_xlfn.XLOOKUP(E18,Product_Lookup!$A$2:$A$14,Product_Lookup!$D$2:$D$14)</f>
        <v>38</v>
      </c>
      <c r="I18">
        <v>3</v>
      </c>
      <c r="J18">
        <f t="shared" si="0"/>
        <v>114</v>
      </c>
      <c r="K18" s="4">
        <v>0.05</v>
      </c>
      <c r="L18" s="7">
        <f t="shared" si="1"/>
        <v>5.7</v>
      </c>
      <c r="M18" s="7">
        <f t="shared" si="2"/>
        <v>108.3</v>
      </c>
      <c r="N18" s="7">
        <f>_xlfn.XLOOKUP(E18,Product_Lookup!$A$2:$A$14,Product_Lookup!$E$2:$E$14)</f>
        <v>21</v>
      </c>
      <c r="O18" s="7">
        <f t="shared" si="3"/>
        <v>63</v>
      </c>
      <c r="P18" s="7">
        <f t="shared" si="4"/>
        <v>45.3</v>
      </c>
      <c r="Q18" s="10">
        <f t="shared" si="5"/>
        <v>0.4182825484764543</v>
      </c>
      <c r="R18" t="s">
        <v>13</v>
      </c>
      <c r="S18" t="s">
        <v>39</v>
      </c>
    </row>
    <row r="19" spans="1:19">
      <c r="A19" t="s">
        <v>52</v>
      </c>
      <c r="B19" s="3">
        <v>46081</v>
      </c>
      <c r="C19" t="s">
        <v>10</v>
      </c>
      <c r="D19" t="s">
        <v>11</v>
      </c>
      <c r="E19" t="s">
        <v>17</v>
      </c>
      <c r="F19" t="str">
        <f>_xlfn.XLOOKUP(E19,Product_Lookup!$A$2:$A$14,Product_Lookup!$B$2:$B$14)</f>
        <v>Storage Box</v>
      </c>
      <c r="G19" t="str">
        <f>_xlfn.XLOOKUP(Sales_Data!E19,Product_Lookup!$A$2:$A$14,Product_Lookup!$C$2:$C$14)</f>
        <v>Storage</v>
      </c>
      <c r="H19">
        <f>_xlfn.XLOOKUP(E19,Product_Lookup!$A$2:$A$14,Product_Lookup!$D$2:$D$14)</f>
        <v>26</v>
      </c>
      <c r="I19">
        <v>6</v>
      </c>
      <c r="J19">
        <f t="shared" si="0"/>
        <v>156</v>
      </c>
      <c r="K19" s="4">
        <v>0</v>
      </c>
      <c r="L19" s="7">
        <f t="shared" si="1"/>
        <v>0</v>
      </c>
      <c r="M19" s="7">
        <f t="shared" si="2"/>
        <v>156</v>
      </c>
      <c r="N19" s="7">
        <f>_xlfn.XLOOKUP(E19,Product_Lookup!$A$2:$A$14,Product_Lookup!$E$2:$E$14)</f>
        <v>11</v>
      </c>
      <c r="O19" s="7">
        <f t="shared" si="3"/>
        <v>66</v>
      </c>
      <c r="P19" s="7">
        <f t="shared" si="4"/>
        <v>90</v>
      </c>
      <c r="Q19" s="10">
        <f t="shared" si="5"/>
        <v>0.57692307692307687</v>
      </c>
      <c r="R19" t="s">
        <v>21</v>
      </c>
      <c r="S19" t="s">
        <v>42</v>
      </c>
    </row>
    <row r="20" spans="1:19">
      <c r="A20" t="s">
        <v>53</v>
      </c>
      <c r="B20" s="3">
        <v>46072</v>
      </c>
      <c r="C20" t="s">
        <v>38</v>
      </c>
      <c r="D20" t="s">
        <v>20</v>
      </c>
      <c r="E20" t="s">
        <v>54</v>
      </c>
      <c r="F20" t="str">
        <f>_xlfn.XLOOKUP(E20,Product_Lookup!$A$2:$A$14,Product_Lookup!$B$2:$B$14)</f>
        <v>Wall Mirror</v>
      </c>
      <c r="G20" t="str">
        <f>_xlfn.XLOOKUP(Sales_Data!E20,Product_Lookup!$A$2:$A$14,Product_Lookup!$C$2:$C$14)</f>
        <v>Home Accessories</v>
      </c>
      <c r="H20">
        <f>_xlfn.XLOOKUP(E20,Product_Lookup!$A$2:$A$14,Product_Lookup!$D$2:$D$14)</f>
        <v>85</v>
      </c>
      <c r="I20">
        <v>7</v>
      </c>
      <c r="J20">
        <f t="shared" si="0"/>
        <v>595</v>
      </c>
      <c r="K20" s="4">
        <v>0.05</v>
      </c>
      <c r="L20" s="7">
        <f t="shared" si="1"/>
        <v>29.75</v>
      </c>
      <c r="M20" s="7">
        <f t="shared" si="2"/>
        <v>565.25</v>
      </c>
      <c r="N20" s="7">
        <f>_xlfn.XLOOKUP(E20,Product_Lookup!$A$2:$A$14,Product_Lookup!$E$2:$E$14)</f>
        <v>41</v>
      </c>
      <c r="O20" s="7">
        <f t="shared" si="3"/>
        <v>287</v>
      </c>
      <c r="P20" s="7">
        <f t="shared" si="4"/>
        <v>278.25</v>
      </c>
      <c r="Q20" s="10">
        <f t="shared" si="5"/>
        <v>0.49226006191950467</v>
      </c>
      <c r="R20" t="s">
        <v>13</v>
      </c>
      <c r="S20" t="s">
        <v>22</v>
      </c>
    </row>
    <row r="21" spans="1:19">
      <c r="A21" t="s">
        <v>55</v>
      </c>
      <c r="B21" s="3">
        <v>46030</v>
      </c>
      <c r="C21" t="s">
        <v>29</v>
      </c>
      <c r="D21" t="s">
        <v>11</v>
      </c>
      <c r="E21" t="s">
        <v>17</v>
      </c>
      <c r="F21" t="str">
        <f>_xlfn.XLOOKUP(E21,Product_Lookup!$A$2:$A$14,Product_Lookup!$B$2:$B$14)</f>
        <v>Storage Box</v>
      </c>
      <c r="G21" t="str">
        <f>_xlfn.XLOOKUP(Sales_Data!E21,Product_Lookup!$A$2:$A$14,Product_Lookup!$C$2:$C$14)</f>
        <v>Storage</v>
      </c>
      <c r="H21">
        <f>_xlfn.XLOOKUP(E21,Product_Lookup!$A$2:$A$14,Product_Lookup!$D$2:$D$14)</f>
        <v>26</v>
      </c>
      <c r="I21">
        <v>5</v>
      </c>
      <c r="J21">
        <f t="shared" si="0"/>
        <v>130</v>
      </c>
      <c r="K21" s="4">
        <v>0.2</v>
      </c>
      <c r="L21" s="7">
        <f t="shared" si="1"/>
        <v>26</v>
      </c>
      <c r="M21" s="7">
        <f t="shared" si="2"/>
        <v>104</v>
      </c>
      <c r="N21" s="7">
        <f>_xlfn.XLOOKUP(E21,Product_Lookup!$A$2:$A$14,Product_Lookup!$E$2:$E$14)</f>
        <v>11</v>
      </c>
      <c r="O21" s="7">
        <f t="shared" si="3"/>
        <v>55</v>
      </c>
      <c r="P21" s="7">
        <f t="shared" si="4"/>
        <v>49</v>
      </c>
      <c r="Q21" s="10">
        <f t="shared" si="5"/>
        <v>0.47115384615384615</v>
      </c>
      <c r="R21" t="s">
        <v>13</v>
      </c>
      <c r="S21" t="s">
        <v>42</v>
      </c>
    </row>
    <row r="22" spans="1:19">
      <c r="A22" t="s">
        <v>56</v>
      </c>
      <c r="B22" s="3">
        <v>46068</v>
      </c>
      <c r="C22" t="s">
        <v>10</v>
      </c>
      <c r="D22" t="s">
        <v>11</v>
      </c>
      <c r="E22" t="s">
        <v>57</v>
      </c>
      <c r="F22" t="str">
        <f>_xlfn.XLOOKUP(E22,Product_Lookup!$A$2:$A$14,Product_Lookup!$B$2:$B$14)</f>
        <v>Shelving Unit</v>
      </c>
      <c r="G22" t="str">
        <f>_xlfn.XLOOKUP(Sales_Data!E22,Product_Lookup!$A$2:$A$14,Product_Lookup!$C$2:$C$14)</f>
        <v>Storage</v>
      </c>
      <c r="H22">
        <f>_xlfn.XLOOKUP(E22,Product_Lookup!$A$2:$A$14,Product_Lookup!$D$2:$D$14)</f>
        <v>115</v>
      </c>
      <c r="I22">
        <v>5</v>
      </c>
      <c r="J22">
        <f t="shared" si="0"/>
        <v>575</v>
      </c>
      <c r="K22" s="4">
        <v>0.25</v>
      </c>
      <c r="L22" s="7">
        <f t="shared" si="1"/>
        <v>143.75</v>
      </c>
      <c r="M22" s="7">
        <f t="shared" si="2"/>
        <v>431.25</v>
      </c>
      <c r="N22" s="7">
        <f>_xlfn.XLOOKUP(E22,Product_Lookup!$A$2:$A$14,Product_Lookup!$E$2:$E$14)</f>
        <v>67</v>
      </c>
      <c r="O22" s="7">
        <f t="shared" si="3"/>
        <v>335</v>
      </c>
      <c r="P22" s="7">
        <f t="shared" si="4"/>
        <v>96.25</v>
      </c>
      <c r="Q22" s="10">
        <f t="shared" si="5"/>
        <v>0.22318840579710145</v>
      </c>
      <c r="R22" t="s">
        <v>13</v>
      </c>
      <c r="S22" t="s">
        <v>42</v>
      </c>
    </row>
    <row r="23" spans="1:19">
      <c r="A23" t="s">
        <v>58</v>
      </c>
      <c r="B23" s="3">
        <v>46113</v>
      </c>
      <c r="C23" t="s">
        <v>29</v>
      </c>
      <c r="D23" t="s">
        <v>20</v>
      </c>
      <c r="E23" t="s">
        <v>45</v>
      </c>
      <c r="F23" t="str">
        <f>_xlfn.XLOOKUP(E23,Product_Lookup!$A$2:$A$14,Product_Lookup!$B$2:$B$14)</f>
        <v>Cushion Set</v>
      </c>
      <c r="G23" t="str">
        <f>_xlfn.XLOOKUP(Sales_Data!E23,Product_Lookup!$A$2:$A$14,Product_Lookup!$C$2:$C$14)</f>
        <v>Home Accessories</v>
      </c>
      <c r="H23">
        <f>_xlfn.XLOOKUP(E23,Product_Lookup!$A$2:$A$14,Product_Lookup!$D$2:$D$14)</f>
        <v>32</v>
      </c>
      <c r="I23">
        <v>3</v>
      </c>
      <c r="J23">
        <f t="shared" si="0"/>
        <v>96</v>
      </c>
      <c r="K23" s="4">
        <v>0.2</v>
      </c>
      <c r="L23" s="7">
        <f t="shared" si="1"/>
        <v>19.200000000000003</v>
      </c>
      <c r="M23" s="7">
        <f t="shared" si="2"/>
        <v>76.8</v>
      </c>
      <c r="N23" s="7">
        <f>_xlfn.XLOOKUP(E23,Product_Lookup!$A$2:$A$14,Product_Lookup!$E$2:$E$14)</f>
        <v>14</v>
      </c>
      <c r="O23" s="7">
        <f t="shared" si="3"/>
        <v>42</v>
      </c>
      <c r="P23" s="7">
        <f t="shared" si="4"/>
        <v>34.799999999999997</v>
      </c>
      <c r="Q23" s="10">
        <f t="shared" si="5"/>
        <v>0.453125</v>
      </c>
      <c r="R23" t="s">
        <v>36</v>
      </c>
      <c r="S23" t="s">
        <v>48</v>
      </c>
    </row>
    <row r="24" spans="1:19">
      <c r="A24" t="s">
        <v>59</v>
      </c>
      <c r="B24" s="3">
        <v>46089</v>
      </c>
      <c r="C24" t="s">
        <v>24</v>
      </c>
      <c r="D24" t="s">
        <v>11</v>
      </c>
      <c r="E24" t="s">
        <v>25</v>
      </c>
      <c r="F24" t="str">
        <f>_xlfn.XLOOKUP(E24,Product_Lookup!$A$2:$A$14,Product_Lookup!$B$2:$B$14)</f>
        <v>Table Lamp</v>
      </c>
      <c r="G24" t="str">
        <f>_xlfn.XLOOKUP(Sales_Data!E24,Product_Lookup!$A$2:$A$14,Product_Lookup!$C$2:$C$14)</f>
        <v>Lighting</v>
      </c>
      <c r="H24">
        <f>_xlfn.XLOOKUP(E24,Product_Lookup!$A$2:$A$14,Product_Lookup!$D$2:$D$14)</f>
        <v>62</v>
      </c>
      <c r="I24">
        <v>3</v>
      </c>
      <c r="J24">
        <f t="shared" si="0"/>
        <v>186</v>
      </c>
      <c r="K24" s="4">
        <v>0</v>
      </c>
      <c r="L24" s="7">
        <f t="shared" si="1"/>
        <v>0</v>
      </c>
      <c r="M24" s="7">
        <f t="shared" si="2"/>
        <v>186</v>
      </c>
      <c r="N24" s="7">
        <f>_xlfn.XLOOKUP(E24,Product_Lookup!$A$2:$A$14,Product_Lookup!$E$2:$E$14)</f>
        <v>31</v>
      </c>
      <c r="O24" s="7">
        <f t="shared" si="3"/>
        <v>93</v>
      </c>
      <c r="P24" s="7">
        <f t="shared" si="4"/>
        <v>93</v>
      </c>
      <c r="Q24" s="10">
        <f t="shared" si="5"/>
        <v>0.5</v>
      </c>
      <c r="R24" t="s">
        <v>13</v>
      </c>
      <c r="S24" t="s">
        <v>14</v>
      </c>
    </row>
    <row r="25" spans="1:19">
      <c r="A25" t="s">
        <v>60</v>
      </c>
      <c r="B25" s="3">
        <v>46173</v>
      </c>
      <c r="C25" t="s">
        <v>10</v>
      </c>
      <c r="D25" t="s">
        <v>16</v>
      </c>
      <c r="E25" t="s">
        <v>45</v>
      </c>
      <c r="F25" t="str">
        <f>_xlfn.XLOOKUP(E25,Product_Lookup!$A$2:$A$14,Product_Lookup!$B$2:$B$14)</f>
        <v>Cushion Set</v>
      </c>
      <c r="G25" t="str">
        <f>_xlfn.XLOOKUP(Sales_Data!E25,Product_Lookup!$A$2:$A$14,Product_Lookup!$C$2:$C$14)</f>
        <v>Home Accessories</v>
      </c>
      <c r="H25">
        <f>_xlfn.XLOOKUP(E25,Product_Lookup!$A$2:$A$14,Product_Lookup!$D$2:$D$14)</f>
        <v>32</v>
      </c>
      <c r="I25">
        <v>1</v>
      </c>
      <c r="J25">
        <f t="shared" si="0"/>
        <v>32</v>
      </c>
      <c r="K25" s="4">
        <v>0.15</v>
      </c>
      <c r="L25" s="7">
        <f t="shared" si="1"/>
        <v>4.8</v>
      </c>
      <c r="M25" s="7">
        <f t="shared" si="2"/>
        <v>27.2</v>
      </c>
      <c r="N25" s="7">
        <f>_xlfn.XLOOKUP(E25,Product_Lookup!$A$2:$A$14,Product_Lookup!$E$2:$E$14)</f>
        <v>14</v>
      </c>
      <c r="O25" s="7">
        <f t="shared" si="3"/>
        <v>14</v>
      </c>
      <c r="P25" s="7">
        <f t="shared" si="4"/>
        <v>13.2</v>
      </c>
      <c r="Q25" s="10">
        <f t="shared" si="5"/>
        <v>0.48529411764705882</v>
      </c>
      <c r="R25" t="s">
        <v>13</v>
      </c>
      <c r="S25" t="s">
        <v>14</v>
      </c>
    </row>
    <row r="26" spans="1:19">
      <c r="A26" t="s">
        <v>61</v>
      </c>
      <c r="B26" s="3">
        <v>46143</v>
      </c>
      <c r="C26" t="s">
        <v>62</v>
      </c>
      <c r="D26" t="s">
        <v>20</v>
      </c>
      <c r="E26" t="s">
        <v>27</v>
      </c>
      <c r="F26" t="str">
        <f>_xlfn.XLOOKUP(E26,Product_Lookup!$A$2:$A$14,Product_Lookup!$B$2:$B$14)</f>
        <v>Kettle</v>
      </c>
      <c r="G26" t="str">
        <f>_xlfn.XLOOKUP(Sales_Data!E26,Product_Lookup!$A$2:$A$14,Product_Lookup!$C$2:$C$14)</f>
        <v>Kitchenware</v>
      </c>
      <c r="H26">
        <f>_xlfn.XLOOKUP(E26,Product_Lookup!$A$2:$A$14,Product_Lookup!$D$2:$D$14)</f>
        <v>38</v>
      </c>
      <c r="I26">
        <v>1</v>
      </c>
      <c r="J26">
        <f t="shared" si="0"/>
        <v>38</v>
      </c>
      <c r="K26" s="4">
        <v>0.05</v>
      </c>
      <c r="L26" s="7">
        <f t="shared" si="1"/>
        <v>1.9000000000000001</v>
      </c>
      <c r="M26" s="7">
        <f t="shared" si="2"/>
        <v>36.1</v>
      </c>
      <c r="N26" s="7">
        <f>_xlfn.XLOOKUP(E26,Product_Lookup!$A$2:$A$14,Product_Lookup!$E$2:$E$14)</f>
        <v>21</v>
      </c>
      <c r="O26" s="7">
        <f t="shared" si="3"/>
        <v>21</v>
      </c>
      <c r="P26" s="7">
        <f t="shared" si="4"/>
        <v>15.100000000000001</v>
      </c>
      <c r="Q26" s="10">
        <f t="shared" si="5"/>
        <v>0.4182825484764543</v>
      </c>
      <c r="R26" t="s">
        <v>36</v>
      </c>
      <c r="S26" t="s">
        <v>48</v>
      </c>
    </row>
    <row r="27" spans="1:19">
      <c r="A27" t="s">
        <v>63</v>
      </c>
      <c r="B27" s="3">
        <v>46149</v>
      </c>
      <c r="C27" t="s">
        <v>10</v>
      </c>
      <c r="D27" t="s">
        <v>11</v>
      </c>
      <c r="E27" t="s">
        <v>25</v>
      </c>
      <c r="F27" t="str">
        <f>_xlfn.XLOOKUP(E27,Product_Lookup!$A$2:$A$14,Product_Lookup!$B$2:$B$14)</f>
        <v>Table Lamp</v>
      </c>
      <c r="G27" t="str">
        <f>_xlfn.XLOOKUP(Sales_Data!E27,Product_Lookup!$A$2:$A$14,Product_Lookup!$C$2:$C$14)</f>
        <v>Lighting</v>
      </c>
      <c r="H27">
        <f>_xlfn.XLOOKUP(E27,Product_Lookup!$A$2:$A$14,Product_Lookup!$D$2:$D$14)</f>
        <v>62</v>
      </c>
      <c r="I27">
        <v>7</v>
      </c>
      <c r="J27">
        <f t="shared" si="0"/>
        <v>434</v>
      </c>
      <c r="K27" s="4">
        <v>0.15</v>
      </c>
      <c r="L27" s="7">
        <f t="shared" si="1"/>
        <v>65.099999999999994</v>
      </c>
      <c r="M27" s="7">
        <f t="shared" si="2"/>
        <v>368.9</v>
      </c>
      <c r="N27" s="7">
        <f>_xlfn.XLOOKUP(E27,Product_Lookup!$A$2:$A$14,Product_Lookup!$E$2:$E$14)</f>
        <v>31</v>
      </c>
      <c r="O27" s="7">
        <f t="shared" si="3"/>
        <v>217</v>
      </c>
      <c r="P27" s="7">
        <f t="shared" si="4"/>
        <v>151.89999999999998</v>
      </c>
      <c r="Q27" s="10">
        <f t="shared" si="5"/>
        <v>0.41176470588235292</v>
      </c>
      <c r="R27" t="s">
        <v>13</v>
      </c>
      <c r="S27" t="s">
        <v>42</v>
      </c>
    </row>
    <row r="28" spans="1:19">
      <c r="A28" t="s">
        <v>64</v>
      </c>
      <c r="B28" s="3">
        <v>46159</v>
      </c>
      <c r="C28" t="s">
        <v>29</v>
      </c>
      <c r="D28" t="s">
        <v>20</v>
      </c>
      <c r="E28" t="s">
        <v>57</v>
      </c>
      <c r="F28" t="str">
        <f>_xlfn.XLOOKUP(E28,Product_Lookup!$A$2:$A$14,Product_Lookup!$B$2:$B$14)</f>
        <v>Shelving Unit</v>
      </c>
      <c r="G28" t="str">
        <f>_xlfn.XLOOKUP(Sales_Data!E28,Product_Lookup!$A$2:$A$14,Product_Lookup!$C$2:$C$14)</f>
        <v>Storage</v>
      </c>
      <c r="H28">
        <f>_xlfn.XLOOKUP(E28,Product_Lookup!$A$2:$A$14,Product_Lookup!$D$2:$D$14)</f>
        <v>115</v>
      </c>
      <c r="I28">
        <v>3</v>
      </c>
      <c r="J28">
        <f t="shared" si="0"/>
        <v>345</v>
      </c>
      <c r="K28" s="4">
        <v>0.1</v>
      </c>
      <c r="L28" s="7">
        <f t="shared" si="1"/>
        <v>34.5</v>
      </c>
      <c r="M28" s="7">
        <f t="shared" si="2"/>
        <v>310.5</v>
      </c>
      <c r="N28" s="7">
        <f>_xlfn.XLOOKUP(E28,Product_Lookup!$A$2:$A$14,Product_Lookup!$E$2:$E$14)</f>
        <v>67</v>
      </c>
      <c r="O28" s="7">
        <f t="shared" si="3"/>
        <v>201</v>
      </c>
      <c r="P28" s="7">
        <f t="shared" si="4"/>
        <v>109.5</v>
      </c>
      <c r="Q28" s="10">
        <f t="shared" si="5"/>
        <v>0.35265700483091789</v>
      </c>
      <c r="R28" t="s">
        <v>13</v>
      </c>
      <c r="S28" t="s">
        <v>22</v>
      </c>
    </row>
    <row r="29" spans="1:19">
      <c r="A29" t="s">
        <v>65</v>
      </c>
      <c r="B29" s="3">
        <v>46171</v>
      </c>
      <c r="C29" t="s">
        <v>29</v>
      </c>
      <c r="D29" t="s">
        <v>11</v>
      </c>
      <c r="E29" t="s">
        <v>32</v>
      </c>
      <c r="F29" t="str">
        <f>_xlfn.XLOOKUP(E29,Product_Lookup!$A$2:$A$14,Product_Lookup!$B$2:$B$14)</f>
        <v>Sofa</v>
      </c>
      <c r="G29" t="str">
        <f>_xlfn.XLOOKUP(Sales_Data!E29,Product_Lookup!$A$2:$A$14,Product_Lookup!$C$2:$C$14)</f>
        <v>Furniture</v>
      </c>
      <c r="H29">
        <f>_xlfn.XLOOKUP(E29,Product_Lookup!$A$2:$A$14,Product_Lookup!$D$2:$D$14)</f>
        <v>420</v>
      </c>
      <c r="I29">
        <v>4</v>
      </c>
      <c r="J29">
        <f t="shared" si="0"/>
        <v>1680</v>
      </c>
      <c r="K29" s="4">
        <v>0</v>
      </c>
      <c r="L29" s="7">
        <f t="shared" si="1"/>
        <v>0</v>
      </c>
      <c r="M29" s="7">
        <f t="shared" si="2"/>
        <v>1680</v>
      </c>
      <c r="N29" s="7">
        <f>_xlfn.XLOOKUP(E29,Product_Lookup!$A$2:$A$14,Product_Lookup!$E$2:$E$14)</f>
        <v>280</v>
      </c>
      <c r="O29" s="7">
        <f t="shared" si="3"/>
        <v>1120</v>
      </c>
      <c r="P29" s="7">
        <f t="shared" si="4"/>
        <v>560</v>
      </c>
      <c r="Q29" s="10">
        <f t="shared" si="5"/>
        <v>0.33333333333333331</v>
      </c>
      <c r="R29" t="s">
        <v>13</v>
      </c>
      <c r="S29" t="s">
        <v>48</v>
      </c>
    </row>
    <row r="30" spans="1:19">
      <c r="A30" t="s">
        <v>66</v>
      </c>
      <c r="B30" s="3">
        <v>46029</v>
      </c>
      <c r="C30" t="s">
        <v>38</v>
      </c>
      <c r="D30" t="s">
        <v>20</v>
      </c>
      <c r="E30" t="s">
        <v>67</v>
      </c>
      <c r="F30" t="str">
        <f>_xlfn.XLOOKUP(E30,Product_Lookup!$A$2:$A$14,Product_Lookup!$B$2:$B$14)</f>
        <v>Rug</v>
      </c>
      <c r="G30" t="str">
        <f>_xlfn.XLOOKUP(Sales_Data!E30,Product_Lookup!$A$2:$A$14,Product_Lookup!$C$2:$C$14)</f>
        <v>Home Accessories</v>
      </c>
      <c r="H30">
        <f>_xlfn.XLOOKUP(E30,Product_Lookup!$A$2:$A$14,Product_Lookup!$D$2:$D$14)</f>
        <v>145</v>
      </c>
      <c r="I30">
        <v>5</v>
      </c>
      <c r="J30">
        <f t="shared" si="0"/>
        <v>725</v>
      </c>
      <c r="K30" s="4">
        <v>0.05</v>
      </c>
      <c r="L30" s="7">
        <f t="shared" si="1"/>
        <v>36.25</v>
      </c>
      <c r="M30" s="7">
        <f t="shared" si="2"/>
        <v>688.75</v>
      </c>
      <c r="N30" s="7">
        <f>_xlfn.XLOOKUP(E30,Product_Lookup!$A$2:$A$14,Product_Lookup!$E$2:$E$14)</f>
        <v>88</v>
      </c>
      <c r="O30" s="7">
        <f t="shared" si="3"/>
        <v>440</v>
      </c>
      <c r="P30" s="7">
        <f t="shared" si="4"/>
        <v>248.75</v>
      </c>
      <c r="Q30" s="10">
        <f t="shared" si="5"/>
        <v>0.36116152450090744</v>
      </c>
      <c r="R30" t="s">
        <v>13</v>
      </c>
      <c r="S30" t="s">
        <v>39</v>
      </c>
    </row>
    <row r="31" spans="1:19">
      <c r="A31" t="s">
        <v>68</v>
      </c>
      <c r="B31" s="3">
        <v>46165</v>
      </c>
      <c r="C31" t="s">
        <v>24</v>
      </c>
      <c r="D31" t="s">
        <v>16</v>
      </c>
      <c r="E31" t="s">
        <v>17</v>
      </c>
      <c r="F31" t="str">
        <f>_xlfn.XLOOKUP(E31,Product_Lookup!$A$2:$A$14,Product_Lookup!$B$2:$B$14)</f>
        <v>Storage Box</v>
      </c>
      <c r="G31" t="str">
        <f>_xlfn.XLOOKUP(Sales_Data!E31,Product_Lookup!$A$2:$A$14,Product_Lookup!$C$2:$C$14)</f>
        <v>Storage</v>
      </c>
      <c r="H31">
        <f>_xlfn.XLOOKUP(E31,Product_Lookup!$A$2:$A$14,Product_Lookup!$D$2:$D$14)</f>
        <v>26</v>
      </c>
      <c r="I31">
        <v>5</v>
      </c>
      <c r="J31">
        <f t="shared" si="0"/>
        <v>130</v>
      </c>
      <c r="K31" s="4">
        <v>0</v>
      </c>
      <c r="L31" s="7">
        <f t="shared" si="1"/>
        <v>0</v>
      </c>
      <c r="M31" s="7">
        <f t="shared" si="2"/>
        <v>130</v>
      </c>
      <c r="N31" s="7">
        <f>_xlfn.XLOOKUP(E31,Product_Lookup!$A$2:$A$14,Product_Lookup!$E$2:$E$14)</f>
        <v>11</v>
      </c>
      <c r="O31" s="7">
        <f t="shared" si="3"/>
        <v>55</v>
      </c>
      <c r="P31" s="7">
        <f t="shared" si="4"/>
        <v>75</v>
      </c>
      <c r="Q31" s="10">
        <f t="shared" si="5"/>
        <v>0.57692307692307687</v>
      </c>
      <c r="R31" t="s">
        <v>13</v>
      </c>
      <c r="S31" t="s">
        <v>22</v>
      </c>
    </row>
    <row r="32" spans="1:19">
      <c r="A32" t="s">
        <v>69</v>
      </c>
      <c r="B32" s="3">
        <v>46173</v>
      </c>
      <c r="C32" t="s">
        <v>38</v>
      </c>
      <c r="D32" t="s">
        <v>11</v>
      </c>
      <c r="E32" t="s">
        <v>12</v>
      </c>
      <c r="F32" t="str">
        <f>_xlfn.XLOOKUP(E32,Product_Lookup!$A$2:$A$14,Product_Lookup!$B$2:$B$14)</f>
        <v>Desk</v>
      </c>
      <c r="G32" t="str">
        <f>_xlfn.XLOOKUP(Sales_Data!E32,Product_Lookup!$A$2:$A$14,Product_Lookup!$C$2:$C$14)</f>
        <v>Furniture</v>
      </c>
      <c r="H32">
        <f>_xlfn.XLOOKUP(E32,Product_Lookup!$A$2:$A$14,Product_Lookup!$D$2:$D$14)</f>
        <v>210</v>
      </c>
      <c r="I32">
        <v>1</v>
      </c>
      <c r="J32">
        <f t="shared" si="0"/>
        <v>210</v>
      </c>
      <c r="K32" s="4">
        <v>0.05</v>
      </c>
      <c r="L32" s="7">
        <f t="shared" si="1"/>
        <v>10.5</v>
      </c>
      <c r="M32" s="7">
        <f t="shared" si="2"/>
        <v>199.5</v>
      </c>
      <c r="N32" s="7">
        <f>_xlfn.XLOOKUP(E32,Product_Lookup!$A$2:$A$14,Product_Lookup!$E$2:$E$14)</f>
        <v>132</v>
      </c>
      <c r="O32" s="7">
        <f t="shared" si="3"/>
        <v>132</v>
      </c>
      <c r="P32" s="7">
        <f t="shared" si="4"/>
        <v>67.5</v>
      </c>
      <c r="Q32" s="10">
        <f t="shared" si="5"/>
        <v>0.33834586466165412</v>
      </c>
      <c r="R32" t="s">
        <v>13</v>
      </c>
      <c r="S32" t="s">
        <v>48</v>
      </c>
    </row>
    <row r="33" spans="1:19">
      <c r="A33" t="s">
        <v>70</v>
      </c>
      <c r="B33" s="3">
        <v>46117</v>
      </c>
      <c r="C33" t="s">
        <v>29</v>
      </c>
      <c r="D33" t="s">
        <v>20</v>
      </c>
      <c r="E33" t="s">
        <v>54</v>
      </c>
      <c r="F33" t="str">
        <f>_xlfn.XLOOKUP(E33,Product_Lookup!$A$2:$A$14,Product_Lookup!$B$2:$B$14)</f>
        <v>Wall Mirror</v>
      </c>
      <c r="G33" t="str">
        <f>_xlfn.XLOOKUP(Sales_Data!E33,Product_Lookup!$A$2:$A$14,Product_Lookup!$C$2:$C$14)</f>
        <v>Home Accessories</v>
      </c>
      <c r="H33">
        <f>_xlfn.XLOOKUP(E33,Product_Lookup!$A$2:$A$14,Product_Lookup!$D$2:$D$14)</f>
        <v>85</v>
      </c>
      <c r="I33">
        <v>1</v>
      </c>
      <c r="J33">
        <f t="shared" si="0"/>
        <v>85</v>
      </c>
      <c r="K33" s="4">
        <v>0</v>
      </c>
      <c r="L33" s="7">
        <f t="shared" si="1"/>
        <v>0</v>
      </c>
      <c r="M33" s="7">
        <f t="shared" si="2"/>
        <v>85</v>
      </c>
      <c r="N33" s="7">
        <f>_xlfn.XLOOKUP(E33,Product_Lookup!$A$2:$A$14,Product_Lookup!$E$2:$E$14)</f>
        <v>41</v>
      </c>
      <c r="O33" s="7">
        <f t="shared" si="3"/>
        <v>41</v>
      </c>
      <c r="P33" s="7">
        <f t="shared" si="4"/>
        <v>44</v>
      </c>
      <c r="Q33" s="10">
        <f t="shared" si="5"/>
        <v>0.51764705882352946</v>
      </c>
      <c r="R33" t="s">
        <v>13</v>
      </c>
      <c r="S33" t="s">
        <v>42</v>
      </c>
    </row>
    <row r="34" spans="1:19">
      <c r="A34" t="s">
        <v>71</v>
      </c>
      <c r="B34" s="3">
        <v>46102</v>
      </c>
      <c r="C34" t="s">
        <v>29</v>
      </c>
      <c r="D34" t="s">
        <v>20</v>
      </c>
      <c r="E34" t="s">
        <v>45</v>
      </c>
      <c r="F34" t="str">
        <f>_xlfn.XLOOKUP(E34,Product_Lookup!$A$2:$A$14,Product_Lookup!$B$2:$B$14)</f>
        <v>Cushion Set</v>
      </c>
      <c r="G34" t="str">
        <f>_xlfn.XLOOKUP(Sales_Data!E34,Product_Lookup!$A$2:$A$14,Product_Lookup!$C$2:$C$14)</f>
        <v>Home Accessories</v>
      </c>
      <c r="H34">
        <f>_xlfn.XLOOKUP(E34,Product_Lookup!$A$2:$A$14,Product_Lookup!$D$2:$D$14)</f>
        <v>32</v>
      </c>
      <c r="I34">
        <v>6</v>
      </c>
      <c r="J34">
        <f t="shared" si="0"/>
        <v>192</v>
      </c>
      <c r="K34" s="4">
        <v>0.15</v>
      </c>
      <c r="L34" s="7">
        <f t="shared" si="1"/>
        <v>28.799999999999997</v>
      </c>
      <c r="M34" s="7">
        <f t="shared" si="2"/>
        <v>163.19999999999999</v>
      </c>
      <c r="N34" s="7">
        <f>_xlfn.XLOOKUP(E34,Product_Lookup!$A$2:$A$14,Product_Lookup!$E$2:$E$14)</f>
        <v>14</v>
      </c>
      <c r="O34" s="7">
        <f t="shared" si="3"/>
        <v>84</v>
      </c>
      <c r="P34" s="7">
        <f t="shared" si="4"/>
        <v>79.199999999999989</v>
      </c>
      <c r="Q34" s="10">
        <f t="shared" si="5"/>
        <v>0.48529411764705876</v>
      </c>
      <c r="R34" t="s">
        <v>13</v>
      </c>
      <c r="S34" t="s">
        <v>33</v>
      </c>
    </row>
    <row r="35" spans="1:19">
      <c r="A35" t="s">
        <v>72</v>
      </c>
      <c r="B35" s="3">
        <v>46118</v>
      </c>
      <c r="C35" t="s">
        <v>38</v>
      </c>
      <c r="D35" t="s">
        <v>20</v>
      </c>
      <c r="E35" t="s">
        <v>12</v>
      </c>
      <c r="F35" t="str">
        <f>_xlfn.XLOOKUP(E35,Product_Lookup!$A$2:$A$14,Product_Lookup!$B$2:$B$14)</f>
        <v>Desk</v>
      </c>
      <c r="G35" t="str">
        <f>_xlfn.XLOOKUP(Sales_Data!E35,Product_Lookup!$A$2:$A$14,Product_Lookup!$C$2:$C$14)</f>
        <v>Furniture</v>
      </c>
      <c r="H35">
        <f>_xlfn.XLOOKUP(E35,Product_Lookup!$A$2:$A$14,Product_Lookup!$D$2:$D$14)</f>
        <v>210</v>
      </c>
      <c r="I35">
        <v>2</v>
      </c>
      <c r="J35">
        <f t="shared" si="0"/>
        <v>420</v>
      </c>
      <c r="K35" s="4">
        <v>0</v>
      </c>
      <c r="L35" s="7">
        <f t="shared" si="1"/>
        <v>0</v>
      </c>
      <c r="M35" s="7">
        <f t="shared" si="2"/>
        <v>420</v>
      </c>
      <c r="N35" s="7">
        <f>_xlfn.XLOOKUP(E35,Product_Lookup!$A$2:$A$14,Product_Lookup!$E$2:$E$14)</f>
        <v>132</v>
      </c>
      <c r="O35" s="7">
        <f t="shared" si="3"/>
        <v>264</v>
      </c>
      <c r="P35" s="7">
        <f t="shared" si="4"/>
        <v>156</v>
      </c>
      <c r="Q35" s="10">
        <f t="shared" si="5"/>
        <v>0.37142857142857144</v>
      </c>
      <c r="R35" t="s">
        <v>13</v>
      </c>
      <c r="S35" t="s">
        <v>18</v>
      </c>
    </row>
    <row r="36" spans="1:19">
      <c r="A36" t="s">
        <v>73</v>
      </c>
      <c r="B36" s="3">
        <v>46140</v>
      </c>
      <c r="C36" t="s">
        <v>29</v>
      </c>
      <c r="D36" t="s">
        <v>16</v>
      </c>
      <c r="E36" t="s">
        <v>12</v>
      </c>
      <c r="F36" t="str">
        <f>_xlfn.XLOOKUP(E36,Product_Lookup!$A$2:$A$14,Product_Lookup!$B$2:$B$14)</f>
        <v>Desk</v>
      </c>
      <c r="G36" t="str">
        <f>_xlfn.XLOOKUP(Sales_Data!E36,Product_Lookup!$A$2:$A$14,Product_Lookup!$C$2:$C$14)</f>
        <v>Furniture</v>
      </c>
      <c r="H36">
        <f>_xlfn.XLOOKUP(E36,Product_Lookup!$A$2:$A$14,Product_Lookup!$D$2:$D$14)</f>
        <v>210</v>
      </c>
      <c r="I36">
        <v>3</v>
      </c>
      <c r="J36">
        <f t="shared" si="0"/>
        <v>630</v>
      </c>
      <c r="K36" s="4">
        <v>0.2</v>
      </c>
      <c r="L36" s="7">
        <f t="shared" si="1"/>
        <v>126</v>
      </c>
      <c r="M36" s="7">
        <f t="shared" si="2"/>
        <v>504</v>
      </c>
      <c r="N36" s="7">
        <f>_xlfn.XLOOKUP(E36,Product_Lookup!$A$2:$A$14,Product_Lookup!$E$2:$E$14)</f>
        <v>132</v>
      </c>
      <c r="O36" s="7">
        <f t="shared" si="3"/>
        <v>396</v>
      </c>
      <c r="P36" s="7">
        <f t="shared" si="4"/>
        <v>108</v>
      </c>
      <c r="Q36" s="10">
        <f t="shared" si="5"/>
        <v>0.21428571428571427</v>
      </c>
      <c r="R36" t="s">
        <v>13</v>
      </c>
      <c r="S36" t="s">
        <v>22</v>
      </c>
    </row>
    <row r="37" spans="1:19">
      <c r="A37" t="s">
        <v>74</v>
      </c>
      <c r="B37" s="3">
        <v>46103</v>
      </c>
      <c r="C37" t="s">
        <v>10</v>
      </c>
      <c r="D37" t="s">
        <v>11</v>
      </c>
      <c r="E37" t="s">
        <v>32</v>
      </c>
      <c r="F37" t="str">
        <f>_xlfn.XLOOKUP(E37,Product_Lookup!$A$2:$A$14,Product_Lookup!$B$2:$B$14)</f>
        <v>Sofa</v>
      </c>
      <c r="G37" t="str">
        <f>_xlfn.XLOOKUP(Sales_Data!E37,Product_Lookup!$A$2:$A$14,Product_Lookup!$C$2:$C$14)</f>
        <v>Furniture</v>
      </c>
      <c r="H37">
        <f>_xlfn.XLOOKUP(E37,Product_Lookup!$A$2:$A$14,Product_Lookup!$D$2:$D$14)</f>
        <v>420</v>
      </c>
      <c r="I37">
        <v>1</v>
      </c>
      <c r="J37">
        <f t="shared" si="0"/>
        <v>420</v>
      </c>
      <c r="K37" s="4">
        <v>0</v>
      </c>
      <c r="L37" s="7">
        <f t="shared" si="1"/>
        <v>0</v>
      </c>
      <c r="M37" s="7">
        <f t="shared" si="2"/>
        <v>420</v>
      </c>
      <c r="N37" s="7">
        <f>_xlfn.XLOOKUP(E37,Product_Lookup!$A$2:$A$14,Product_Lookup!$E$2:$E$14)</f>
        <v>280</v>
      </c>
      <c r="O37" s="7">
        <f t="shared" si="3"/>
        <v>280</v>
      </c>
      <c r="P37" s="7">
        <f t="shared" si="4"/>
        <v>140</v>
      </c>
      <c r="Q37" s="10">
        <f t="shared" si="5"/>
        <v>0.33333333333333331</v>
      </c>
      <c r="R37" t="s">
        <v>36</v>
      </c>
      <c r="S37" t="s">
        <v>39</v>
      </c>
    </row>
    <row r="38" spans="1:19">
      <c r="A38" t="s">
        <v>75</v>
      </c>
      <c r="B38" s="3">
        <v>46061</v>
      </c>
      <c r="C38" t="s">
        <v>44</v>
      </c>
      <c r="D38" t="s">
        <v>20</v>
      </c>
      <c r="E38" t="s">
        <v>76</v>
      </c>
      <c r="F38" t="str">
        <f>_xlfn.XLOOKUP(E38,Product_Lookup!$A$2:$A$14,Product_Lookup!$B$2:$B$14)</f>
        <v>Cookware Set</v>
      </c>
      <c r="G38" t="str">
        <f>_xlfn.XLOOKUP(Sales_Data!E38,Product_Lookup!$A$2:$A$14,Product_Lookup!$C$2:$C$14)</f>
        <v>Kitchenware</v>
      </c>
      <c r="H38">
        <f>_xlfn.XLOOKUP(E38,Product_Lookup!$A$2:$A$14,Product_Lookup!$D$2:$D$14)</f>
        <v>110</v>
      </c>
      <c r="I38">
        <v>3</v>
      </c>
      <c r="J38">
        <f t="shared" si="0"/>
        <v>330</v>
      </c>
      <c r="K38" s="4">
        <v>0.05</v>
      </c>
      <c r="L38" s="7">
        <f t="shared" si="1"/>
        <v>16.5</v>
      </c>
      <c r="M38" s="7">
        <f t="shared" si="2"/>
        <v>313.5</v>
      </c>
      <c r="N38" s="7">
        <f>_xlfn.XLOOKUP(E38,Product_Lookup!$A$2:$A$14,Product_Lookup!$E$2:$E$14)</f>
        <v>65</v>
      </c>
      <c r="O38" s="7">
        <f t="shared" si="3"/>
        <v>195</v>
      </c>
      <c r="P38" s="7">
        <f t="shared" si="4"/>
        <v>118.5</v>
      </c>
      <c r="Q38" s="10">
        <f t="shared" si="5"/>
        <v>0.37799043062200954</v>
      </c>
      <c r="R38" t="s">
        <v>36</v>
      </c>
      <c r="S38" t="s">
        <v>48</v>
      </c>
    </row>
    <row r="39" spans="1:19">
      <c r="A39" t="s">
        <v>77</v>
      </c>
      <c r="B39" s="3">
        <v>46143</v>
      </c>
      <c r="C39" t="s">
        <v>24</v>
      </c>
      <c r="D39" t="s">
        <v>20</v>
      </c>
      <c r="E39" t="s">
        <v>57</v>
      </c>
      <c r="F39" t="str">
        <f>_xlfn.XLOOKUP(E39,Product_Lookup!$A$2:$A$14,Product_Lookup!$B$2:$B$14)</f>
        <v>Shelving Unit</v>
      </c>
      <c r="G39" t="str">
        <f>_xlfn.XLOOKUP(Sales_Data!E39,Product_Lookup!$A$2:$A$14,Product_Lookup!$C$2:$C$14)</f>
        <v>Storage</v>
      </c>
      <c r="H39">
        <f>_xlfn.XLOOKUP(E39,Product_Lookup!$A$2:$A$14,Product_Lookup!$D$2:$D$14)</f>
        <v>115</v>
      </c>
      <c r="I39">
        <v>6</v>
      </c>
      <c r="J39">
        <f t="shared" si="0"/>
        <v>690</v>
      </c>
      <c r="K39" s="4">
        <v>0.2</v>
      </c>
      <c r="L39" s="7">
        <f t="shared" si="1"/>
        <v>138</v>
      </c>
      <c r="M39" s="7">
        <f t="shared" si="2"/>
        <v>552</v>
      </c>
      <c r="N39" s="7">
        <f>_xlfn.XLOOKUP(E39,Product_Lookup!$A$2:$A$14,Product_Lookup!$E$2:$E$14)</f>
        <v>67</v>
      </c>
      <c r="O39" s="7">
        <f t="shared" si="3"/>
        <v>402</v>
      </c>
      <c r="P39" s="7">
        <f t="shared" si="4"/>
        <v>150</v>
      </c>
      <c r="Q39" s="10">
        <f t="shared" si="5"/>
        <v>0.27173913043478259</v>
      </c>
      <c r="R39" t="s">
        <v>13</v>
      </c>
      <c r="S39" t="s">
        <v>42</v>
      </c>
    </row>
    <row r="40" spans="1:19">
      <c r="A40" t="s">
        <v>78</v>
      </c>
      <c r="B40" s="3">
        <v>46180</v>
      </c>
      <c r="C40" t="s">
        <v>38</v>
      </c>
      <c r="D40" t="s">
        <v>16</v>
      </c>
      <c r="E40" t="s">
        <v>76</v>
      </c>
      <c r="F40" t="str">
        <f>_xlfn.XLOOKUP(E40,Product_Lookup!$A$2:$A$14,Product_Lookup!$B$2:$B$14)</f>
        <v>Cookware Set</v>
      </c>
      <c r="G40" t="str">
        <f>_xlfn.XLOOKUP(Sales_Data!E40,Product_Lookup!$A$2:$A$14,Product_Lookup!$C$2:$C$14)</f>
        <v>Kitchenware</v>
      </c>
      <c r="H40">
        <f>_xlfn.XLOOKUP(E40,Product_Lookup!$A$2:$A$14,Product_Lookup!$D$2:$D$14)</f>
        <v>110</v>
      </c>
      <c r="I40">
        <v>7</v>
      </c>
      <c r="J40">
        <f t="shared" si="0"/>
        <v>770</v>
      </c>
      <c r="K40" s="4">
        <v>0.1</v>
      </c>
      <c r="L40" s="7">
        <f t="shared" si="1"/>
        <v>77</v>
      </c>
      <c r="M40" s="7">
        <f t="shared" si="2"/>
        <v>693</v>
      </c>
      <c r="N40" s="7">
        <f>_xlfn.XLOOKUP(E40,Product_Lookup!$A$2:$A$14,Product_Lookup!$E$2:$E$14)</f>
        <v>65</v>
      </c>
      <c r="O40" s="7">
        <f t="shared" si="3"/>
        <v>455</v>
      </c>
      <c r="P40" s="7">
        <f t="shared" si="4"/>
        <v>238</v>
      </c>
      <c r="Q40" s="10">
        <f t="shared" si="5"/>
        <v>0.34343434343434343</v>
      </c>
      <c r="R40" t="s">
        <v>13</v>
      </c>
      <c r="S40" t="s">
        <v>18</v>
      </c>
    </row>
    <row r="41" spans="1:19">
      <c r="A41" t="s">
        <v>79</v>
      </c>
      <c r="B41" s="3">
        <v>46029</v>
      </c>
      <c r="C41" t="s">
        <v>24</v>
      </c>
      <c r="D41" t="s">
        <v>20</v>
      </c>
      <c r="E41" t="s">
        <v>67</v>
      </c>
      <c r="F41" t="str">
        <f>_xlfn.XLOOKUP(E41,Product_Lookup!$A$2:$A$14,Product_Lookup!$B$2:$B$14)</f>
        <v>Rug</v>
      </c>
      <c r="G41" t="str">
        <f>_xlfn.XLOOKUP(Sales_Data!E41,Product_Lookup!$A$2:$A$14,Product_Lookup!$C$2:$C$14)</f>
        <v>Home Accessories</v>
      </c>
      <c r="H41">
        <f>_xlfn.XLOOKUP(E41,Product_Lookup!$A$2:$A$14,Product_Lookup!$D$2:$D$14)</f>
        <v>145</v>
      </c>
      <c r="I41">
        <v>3</v>
      </c>
      <c r="J41">
        <f t="shared" si="0"/>
        <v>435</v>
      </c>
      <c r="K41" s="4">
        <v>0</v>
      </c>
      <c r="L41" s="7">
        <f t="shared" si="1"/>
        <v>0</v>
      </c>
      <c r="M41" s="7">
        <f t="shared" si="2"/>
        <v>435</v>
      </c>
      <c r="N41" s="7">
        <f>_xlfn.XLOOKUP(E41,Product_Lookup!$A$2:$A$14,Product_Lookup!$E$2:$E$14)</f>
        <v>88</v>
      </c>
      <c r="O41" s="7">
        <f t="shared" si="3"/>
        <v>264</v>
      </c>
      <c r="P41" s="7">
        <f t="shared" si="4"/>
        <v>171</v>
      </c>
      <c r="Q41" s="10">
        <f t="shared" si="5"/>
        <v>0.39310344827586208</v>
      </c>
      <c r="R41" t="s">
        <v>13</v>
      </c>
      <c r="S41" t="s">
        <v>22</v>
      </c>
    </row>
    <row r="42" spans="1:19">
      <c r="A42" t="s">
        <v>80</v>
      </c>
      <c r="B42" s="3">
        <v>46087</v>
      </c>
      <c r="C42" t="s">
        <v>44</v>
      </c>
      <c r="D42" t="s">
        <v>20</v>
      </c>
      <c r="E42" t="s">
        <v>76</v>
      </c>
      <c r="F42" t="str">
        <f>_xlfn.XLOOKUP(E42,Product_Lookup!$A$2:$A$14,Product_Lookup!$B$2:$B$14)</f>
        <v>Cookware Set</v>
      </c>
      <c r="G42" t="str">
        <f>_xlfn.XLOOKUP(Sales_Data!E42,Product_Lookup!$A$2:$A$14,Product_Lookup!$C$2:$C$14)</f>
        <v>Kitchenware</v>
      </c>
      <c r="H42">
        <f>_xlfn.XLOOKUP(E42,Product_Lookup!$A$2:$A$14,Product_Lookup!$D$2:$D$14)</f>
        <v>110</v>
      </c>
      <c r="I42">
        <v>5</v>
      </c>
      <c r="J42">
        <f t="shared" si="0"/>
        <v>550</v>
      </c>
      <c r="K42" s="4">
        <v>0</v>
      </c>
      <c r="L42" s="7">
        <f t="shared" si="1"/>
        <v>0</v>
      </c>
      <c r="M42" s="7">
        <f t="shared" si="2"/>
        <v>550</v>
      </c>
      <c r="N42" s="7">
        <f>_xlfn.XLOOKUP(E42,Product_Lookup!$A$2:$A$14,Product_Lookup!$E$2:$E$14)</f>
        <v>65</v>
      </c>
      <c r="O42" s="7">
        <f t="shared" si="3"/>
        <v>325</v>
      </c>
      <c r="P42" s="7">
        <f t="shared" si="4"/>
        <v>225</v>
      </c>
      <c r="Q42" s="10">
        <f t="shared" si="5"/>
        <v>0.40909090909090912</v>
      </c>
      <c r="R42" t="s">
        <v>13</v>
      </c>
      <c r="S42" t="s">
        <v>22</v>
      </c>
    </row>
    <row r="43" spans="1:19">
      <c r="A43" t="s">
        <v>81</v>
      </c>
      <c r="B43" s="3">
        <v>46062</v>
      </c>
      <c r="C43" t="s">
        <v>10</v>
      </c>
      <c r="D43" t="s">
        <v>20</v>
      </c>
      <c r="E43" t="s">
        <v>67</v>
      </c>
      <c r="F43" t="str">
        <f>_xlfn.XLOOKUP(E43,Product_Lookup!$A$2:$A$14,Product_Lookup!$B$2:$B$14)</f>
        <v>Rug</v>
      </c>
      <c r="G43" t="str">
        <f>_xlfn.XLOOKUP(Sales_Data!E43,Product_Lookup!$A$2:$A$14,Product_Lookup!$C$2:$C$14)</f>
        <v>Home Accessories</v>
      </c>
      <c r="H43">
        <f>_xlfn.XLOOKUP(E43,Product_Lookup!$A$2:$A$14,Product_Lookup!$D$2:$D$14)</f>
        <v>145</v>
      </c>
      <c r="I43">
        <v>6</v>
      </c>
      <c r="J43">
        <f t="shared" si="0"/>
        <v>870</v>
      </c>
      <c r="K43" s="4">
        <v>0.05</v>
      </c>
      <c r="L43" s="7">
        <f t="shared" si="1"/>
        <v>43.5</v>
      </c>
      <c r="M43" s="7">
        <f t="shared" si="2"/>
        <v>826.5</v>
      </c>
      <c r="N43" s="7">
        <f>_xlfn.XLOOKUP(E43,Product_Lookup!$A$2:$A$14,Product_Lookup!$E$2:$E$14)</f>
        <v>88</v>
      </c>
      <c r="O43" s="7">
        <f t="shared" si="3"/>
        <v>528</v>
      </c>
      <c r="P43" s="7">
        <f t="shared" si="4"/>
        <v>298.5</v>
      </c>
      <c r="Q43" s="10">
        <f t="shared" si="5"/>
        <v>0.36116152450090744</v>
      </c>
      <c r="R43" t="s">
        <v>13</v>
      </c>
      <c r="S43" t="s">
        <v>48</v>
      </c>
    </row>
    <row r="44" spans="1:19">
      <c r="A44" t="s">
        <v>82</v>
      </c>
      <c r="B44" s="3">
        <v>46118</v>
      </c>
      <c r="C44" t="s">
        <v>44</v>
      </c>
      <c r="D44" t="s">
        <v>20</v>
      </c>
      <c r="E44" t="s">
        <v>45</v>
      </c>
      <c r="F44" t="str">
        <f>_xlfn.XLOOKUP(E44,Product_Lookup!$A$2:$A$14,Product_Lookup!$B$2:$B$14)</f>
        <v>Cushion Set</v>
      </c>
      <c r="G44" t="str">
        <f>_xlfn.XLOOKUP(Sales_Data!E44,Product_Lookup!$A$2:$A$14,Product_Lookup!$C$2:$C$14)</f>
        <v>Home Accessories</v>
      </c>
      <c r="H44">
        <f>_xlfn.XLOOKUP(E44,Product_Lookup!$A$2:$A$14,Product_Lookup!$D$2:$D$14)</f>
        <v>32</v>
      </c>
      <c r="I44">
        <v>6</v>
      </c>
      <c r="J44">
        <f t="shared" si="0"/>
        <v>192</v>
      </c>
      <c r="K44" s="4">
        <v>0.1</v>
      </c>
      <c r="L44" s="7">
        <f t="shared" si="1"/>
        <v>19.200000000000003</v>
      </c>
      <c r="M44" s="7">
        <f t="shared" si="2"/>
        <v>172.8</v>
      </c>
      <c r="N44" s="7">
        <f>_xlfn.XLOOKUP(E44,Product_Lookup!$A$2:$A$14,Product_Lookup!$E$2:$E$14)</f>
        <v>14</v>
      </c>
      <c r="O44" s="7">
        <f t="shared" si="3"/>
        <v>84</v>
      </c>
      <c r="P44" s="7">
        <f t="shared" si="4"/>
        <v>88.800000000000011</v>
      </c>
      <c r="Q44" s="10">
        <f t="shared" si="5"/>
        <v>0.51388888888888895</v>
      </c>
      <c r="R44" t="s">
        <v>13</v>
      </c>
      <c r="S44" t="s">
        <v>48</v>
      </c>
    </row>
    <row r="45" spans="1:19">
      <c r="A45" t="s">
        <v>83</v>
      </c>
      <c r="B45" s="3">
        <v>46032</v>
      </c>
      <c r="C45" t="s">
        <v>24</v>
      </c>
      <c r="D45" t="s">
        <v>16</v>
      </c>
      <c r="E45" t="s">
        <v>32</v>
      </c>
      <c r="F45" t="str">
        <f>_xlfn.XLOOKUP(E45,Product_Lookup!$A$2:$A$14,Product_Lookup!$B$2:$B$14)</f>
        <v>Sofa</v>
      </c>
      <c r="G45" t="str">
        <f>_xlfn.XLOOKUP(Sales_Data!E45,Product_Lookup!$A$2:$A$14,Product_Lookup!$C$2:$C$14)</f>
        <v>Furniture</v>
      </c>
      <c r="H45">
        <f>_xlfn.XLOOKUP(E45,Product_Lookup!$A$2:$A$14,Product_Lookup!$D$2:$D$14)</f>
        <v>420</v>
      </c>
      <c r="I45">
        <v>4</v>
      </c>
      <c r="J45">
        <f t="shared" si="0"/>
        <v>1680</v>
      </c>
      <c r="K45" s="4">
        <v>0</v>
      </c>
      <c r="L45" s="7">
        <f t="shared" si="1"/>
        <v>0</v>
      </c>
      <c r="M45" s="7">
        <f t="shared" si="2"/>
        <v>1680</v>
      </c>
      <c r="N45" s="7">
        <f>_xlfn.XLOOKUP(E45,Product_Lookup!$A$2:$A$14,Product_Lookup!$E$2:$E$14)</f>
        <v>280</v>
      </c>
      <c r="O45" s="7">
        <f t="shared" si="3"/>
        <v>1120</v>
      </c>
      <c r="P45" s="7">
        <f t="shared" si="4"/>
        <v>560</v>
      </c>
      <c r="Q45" s="10">
        <f t="shared" si="5"/>
        <v>0.33333333333333331</v>
      </c>
      <c r="R45" t="s">
        <v>13</v>
      </c>
      <c r="S45" t="s">
        <v>33</v>
      </c>
    </row>
    <row r="46" spans="1:19">
      <c r="A46" t="s">
        <v>84</v>
      </c>
      <c r="B46" s="3">
        <v>46199</v>
      </c>
      <c r="C46" t="s">
        <v>29</v>
      </c>
      <c r="D46" t="s">
        <v>11</v>
      </c>
      <c r="E46" t="s">
        <v>25</v>
      </c>
      <c r="F46" t="str">
        <f>_xlfn.XLOOKUP(E46,Product_Lookup!$A$2:$A$14,Product_Lookup!$B$2:$B$14)</f>
        <v>Table Lamp</v>
      </c>
      <c r="G46" t="str">
        <f>_xlfn.XLOOKUP(Sales_Data!E46,Product_Lookup!$A$2:$A$14,Product_Lookup!$C$2:$C$14)</f>
        <v>Lighting</v>
      </c>
      <c r="H46">
        <f>_xlfn.XLOOKUP(E46,Product_Lookup!$A$2:$A$14,Product_Lookup!$D$2:$D$14)</f>
        <v>62</v>
      </c>
      <c r="I46">
        <v>1</v>
      </c>
      <c r="J46">
        <f t="shared" si="0"/>
        <v>62</v>
      </c>
      <c r="K46" s="4">
        <v>0.1</v>
      </c>
      <c r="L46" s="7">
        <f t="shared" si="1"/>
        <v>6.2</v>
      </c>
      <c r="M46" s="7">
        <f t="shared" si="2"/>
        <v>55.8</v>
      </c>
      <c r="N46" s="7">
        <f>_xlfn.XLOOKUP(E46,Product_Lookup!$A$2:$A$14,Product_Lookup!$E$2:$E$14)</f>
        <v>31</v>
      </c>
      <c r="O46" s="7">
        <f t="shared" si="3"/>
        <v>31</v>
      </c>
      <c r="P46" s="7">
        <f t="shared" si="4"/>
        <v>24.799999999999997</v>
      </c>
      <c r="Q46" s="10">
        <f t="shared" si="5"/>
        <v>0.44444444444444442</v>
      </c>
      <c r="R46" t="s">
        <v>13</v>
      </c>
      <c r="S46" t="s">
        <v>18</v>
      </c>
    </row>
    <row r="47" spans="1:19">
      <c r="A47" t="s">
        <v>85</v>
      </c>
      <c r="B47" s="3">
        <v>46053</v>
      </c>
      <c r="C47" t="s">
        <v>38</v>
      </c>
      <c r="D47" t="s">
        <v>11</v>
      </c>
      <c r="E47" t="s">
        <v>54</v>
      </c>
      <c r="F47" t="str">
        <f>_xlfn.XLOOKUP(E47,Product_Lookup!$A$2:$A$14,Product_Lookup!$B$2:$B$14)</f>
        <v>Wall Mirror</v>
      </c>
      <c r="G47" t="str">
        <f>_xlfn.XLOOKUP(Sales_Data!E47,Product_Lookup!$A$2:$A$14,Product_Lookup!$C$2:$C$14)</f>
        <v>Home Accessories</v>
      </c>
      <c r="H47">
        <f>_xlfn.XLOOKUP(E47,Product_Lookup!$A$2:$A$14,Product_Lookup!$D$2:$D$14)</f>
        <v>85</v>
      </c>
      <c r="I47">
        <v>7</v>
      </c>
      <c r="J47">
        <f t="shared" si="0"/>
        <v>595</v>
      </c>
      <c r="K47" s="4">
        <v>0.1</v>
      </c>
      <c r="L47" s="7">
        <f t="shared" si="1"/>
        <v>59.5</v>
      </c>
      <c r="M47" s="7">
        <f t="shared" si="2"/>
        <v>535.5</v>
      </c>
      <c r="N47" s="7">
        <f>_xlfn.XLOOKUP(E47,Product_Lookup!$A$2:$A$14,Product_Lookup!$E$2:$E$14)</f>
        <v>41</v>
      </c>
      <c r="O47" s="7">
        <f t="shared" si="3"/>
        <v>287</v>
      </c>
      <c r="P47" s="7">
        <f t="shared" si="4"/>
        <v>248.5</v>
      </c>
      <c r="Q47" s="10">
        <f t="shared" si="5"/>
        <v>0.46405228758169936</v>
      </c>
      <c r="R47" t="s">
        <v>13</v>
      </c>
      <c r="S47" t="s">
        <v>18</v>
      </c>
    </row>
    <row r="48" spans="1:19">
      <c r="A48" t="s">
        <v>86</v>
      </c>
      <c r="B48" s="3">
        <v>46199</v>
      </c>
      <c r="C48" t="s">
        <v>29</v>
      </c>
      <c r="D48" t="s">
        <v>16</v>
      </c>
      <c r="E48" t="s">
        <v>57</v>
      </c>
      <c r="F48" t="str">
        <f>_xlfn.XLOOKUP(E48,Product_Lookup!$A$2:$A$14,Product_Lookup!$B$2:$B$14)</f>
        <v>Shelving Unit</v>
      </c>
      <c r="G48" t="str">
        <f>_xlfn.XLOOKUP(Sales_Data!E48,Product_Lookup!$A$2:$A$14,Product_Lookup!$C$2:$C$14)</f>
        <v>Storage</v>
      </c>
      <c r="H48">
        <f>_xlfn.XLOOKUP(E48,Product_Lookup!$A$2:$A$14,Product_Lookup!$D$2:$D$14)</f>
        <v>115</v>
      </c>
      <c r="I48">
        <v>1</v>
      </c>
      <c r="J48">
        <f t="shared" si="0"/>
        <v>115</v>
      </c>
      <c r="K48" s="4">
        <v>0.2</v>
      </c>
      <c r="L48" s="7">
        <f t="shared" si="1"/>
        <v>23</v>
      </c>
      <c r="M48" s="7">
        <f t="shared" si="2"/>
        <v>92</v>
      </c>
      <c r="N48" s="7">
        <f>_xlfn.XLOOKUP(E48,Product_Lookup!$A$2:$A$14,Product_Lookup!$E$2:$E$14)</f>
        <v>67</v>
      </c>
      <c r="O48" s="7">
        <f t="shared" si="3"/>
        <v>67</v>
      </c>
      <c r="P48" s="7">
        <f t="shared" si="4"/>
        <v>25</v>
      </c>
      <c r="Q48" s="10">
        <f t="shared" si="5"/>
        <v>0.27173913043478259</v>
      </c>
      <c r="R48" t="s">
        <v>21</v>
      </c>
      <c r="S48" t="s">
        <v>42</v>
      </c>
    </row>
    <row r="49" spans="1:19">
      <c r="A49" t="s">
        <v>87</v>
      </c>
      <c r="B49" s="3">
        <v>46168</v>
      </c>
      <c r="C49" t="s">
        <v>10</v>
      </c>
      <c r="D49" t="s">
        <v>16</v>
      </c>
      <c r="E49" t="s">
        <v>45</v>
      </c>
      <c r="F49" t="str">
        <f>_xlfn.XLOOKUP(E49,Product_Lookup!$A$2:$A$14,Product_Lookup!$B$2:$B$14)</f>
        <v>Cushion Set</v>
      </c>
      <c r="G49" t="str">
        <f>_xlfn.XLOOKUP(Sales_Data!E49,Product_Lookup!$A$2:$A$14,Product_Lookup!$C$2:$C$14)</f>
        <v>Home Accessories</v>
      </c>
      <c r="H49">
        <f>_xlfn.XLOOKUP(E49,Product_Lookup!$A$2:$A$14,Product_Lookup!$D$2:$D$14)</f>
        <v>32</v>
      </c>
      <c r="I49">
        <v>5</v>
      </c>
      <c r="J49">
        <f t="shared" si="0"/>
        <v>160</v>
      </c>
      <c r="K49" s="4">
        <v>0.05</v>
      </c>
      <c r="L49" s="7">
        <f t="shared" si="1"/>
        <v>8</v>
      </c>
      <c r="M49" s="7">
        <f t="shared" si="2"/>
        <v>152</v>
      </c>
      <c r="N49" s="7">
        <f>_xlfn.XLOOKUP(E49,Product_Lookup!$A$2:$A$14,Product_Lookup!$E$2:$E$14)</f>
        <v>14</v>
      </c>
      <c r="O49" s="7">
        <f t="shared" si="3"/>
        <v>70</v>
      </c>
      <c r="P49" s="7">
        <f t="shared" si="4"/>
        <v>82</v>
      </c>
      <c r="Q49" s="10">
        <f t="shared" si="5"/>
        <v>0.53947368421052633</v>
      </c>
      <c r="R49" t="s">
        <v>36</v>
      </c>
      <c r="S49" t="s">
        <v>18</v>
      </c>
    </row>
    <row r="50" spans="1:19">
      <c r="A50" t="s">
        <v>88</v>
      </c>
      <c r="B50" s="3">
        <v>46181</v>
      </c>
      <c r="C50" t="s">
        <v>38</v>
      </c>
      <c r="D50" t="s">
        <v>20</v>
      </c>
      <c r="E50" t="s">
        <v>57</v>
      </c>
      <c r="F50" t="str">
        <f>_xlfn.XLOOKUP(E50,Product_Lookup!$A$2:$A$14,Product_Lookup!$B$2:$B$14)</f>
        <v>Shelving Unit</v>
      </c>
      <c r="G50" t="str">
        <f>_xlfn.XLOOKUP(Sales_Data!E50,Product_Lookup!$A$2:$A$14,Product_Lookup!$C$2:$C$14)</f>
        <v>Storage</v>
      </c>
      <c r="H50">
        <f>_xlfn.XLOOKUP(E50,Product_Lookup!$A$2:$A$14,Product_Lookup!$D$2:$D$14)</f>
        <v>115</v>
      </c>
      <c r="I50">
        <v>3</v>
      </c>
      <c r="J50">
        <f t="shared" si="0"/>
        <v>345</v>
      </c>
      <c r="K50" s="4">
        <v>0.15</v>
      </c>
      <c r="L50" s="7">
        <f t="shared" si="1"/>
        <v>51.75</v>
      </c>
      <c r="M50" s="7">
        <f t="shared" si="2"/>
        <v>293.25</v>
      </c>
      <c r="N50" s="7">
        <f>_xlfn.XLOOKUP(E50,Product_Lookup!$A$2:$A$14,Product_Lookup!$E$2:$E$14)</f>
        <v>67</v>
      </c>
      <c r="O50" s="7">
        <f t="shared" si="3"/>
        <v>201</v>
      </c>
      <c r="P50" s="7">
        <f t="shared" si="4"/>
        <v>92.25</v>
      </c>
      <c r="Q50" s="10">
        <f t="shared" si="5"/>
        <v>0.31457800511508949</v>
      </c>
      <c r="R50" t="s">
        <v>13</v>
      </c>
      <c r="S50" t="s">
        <v>33</v>
      </c>
    </row>
    <row r="51" spans="1:19">
      <c r="A51" t="s">
        <v>89</v>
      </c>
      <c r="B51" s="3">
        <v>46074</v>
      </c>
      <c r="C51" t="s">
        <v>10</v>
      </c>
      <c r="D51" t="s">
        <v>11</v>
      </c>
      <c r="E51" t="s">
        <v>25</v>
      </c>
      <c r="F51" t="str">
        <f>_xlfn.XLOOKUP(E51,Product_Lookup!$A$2:$A$14,Product_Lookup!$B$2:$B$14)</f>
        <v>Table Lamp</v>
      </c>
      <c r="G51" t="str">
        <f>_xlfn.XLOOKUP(Sales_Data!E51,Product_Lookup!$A$2:$A$14,Product_Lookup!$C$2:$C$14)</f>
        <v>Lighting</v>
      </c>
      <c r="H51">
        <f>_xlfn.XLOOKUP(E51,Product_Lookup!$A$2:$A$14,Product_Lookup!$D$2:$D$14)</f>
        <v>62</v>
      </c>
      <c r="I51">
        <v>6</v>
      </c>
      <c r="J51">
        <f t="shared" si="0"/>
        <v>372</v>
      </c>
      <c r="K51" s="4">
        <v>0.2</v>
      </c>
      <c r="L51" s="7">
        <f t="shared" si="1"/>
        <v>74.400000000000006</v>
      </c>
      <c r="M51" s="7">
        <f t="shared" si="2"/>
        <v>297.60000000000002</v>
      </c>
      <c r="N51" s="7">
        <f>_xlfn.XLOOKUP(E51,Product_Lookup!$A$2:$A$14,Product_Lookup!$E$2:$E$14)</f>
        <v>31</v>
      </c>
      <c r="O51" s="7">
        <f t="shared" si="3"/>
        <v>186</v>
      </c>
      <c r="P51" s="7">
        <f t="shared" si="4"/>
        <v>111.60000000000002</v>
      </c>
      <c r="Q51" s="10">
        <f t="shared" si="5"/>
        <v>0.37500000000000006</v>
      </c>
      <c r="R51" t="s">
        <v>36</v>
      </c>
      <c r="S51" t="s">
        <v>14</v>
      </c>
    </row>
    <row r="52" spans="1:19">
      <c r="A52" t="s">
        <v>90</v>
      </c>
      <c r="B52" s="3">
        <v>46063</v>
      </c>
      <c r="C52" t="s">
        <v>24</v>
      </c>
      <c r="D52" t="s">
        <v>11</v>
      </c>
      <c r="E52" t="s">
        <v>76</v>
      </c>
      <c r="F52" t="str">
        <f>_xlfn.XLOOKUP(E52,Product_Lookup!$A$2:$A$14,Product_Lookup!$B$2:$B$14)</f>
        <v>Cookware Set</v>
      </c>
      <c r="G52" t="str">
        <f>_xlfn.XLOOKUP(Sales_Data!E52,Product_Lookup!$A$2:$A$14,Product_Lookup!$C$2:$C$14)</f>
        <v>Kitchenware</v>
      </c>
      <c r="H52">
        <f>_xlfn.XLOOKUP(E52,Product_Lookup!$A$2:$A$14,Product_Lookup!$D$2:$D$14)</f>
        <v>110</v>
      </c>
      <c r="I52">
        <v>3</v>
      </c>
      <c r="J52">
        <f t="shared" si="0"/>
        <v>330</v>
      </c>
      <c r="K52" s="4">
        <v>0</v>
      </c>
      <c r="L52" s="7">
        <f t="shared" si="1"/>
        <v>0</v>
      </c>
      <c r="M52" s="7">
        <f t="shared" si="2"/>
        <v>330</v>
      </c>
      <c r="N52" s="7">
        <f>_xlfn.XLOOKUP(E52,Product_Lookup!$A$2:$A$14,Product_Lookup!$E$2:$E$14)</f>
        <v>65</v>
      </c>
      <c r="O52" s="7">
        <f t="shared" si="3"/>
        <v>195</v>
      </c>
      <c r="P52" s="7">
        <f t="shared" si="4"/>
        <v>135</v>
      </c>
      <c r="Q52" s="10">
        <f t="shared" si="5"/>
        <v>0.40909090909090912</v>
      </c>
      <c r="R52" t="s">
        <v>36</v>
      </c>
      <c r="S52" t="s">
        <v>18</v>
      </c>
    </row>
    <row r="53" spans="1:19">
      <c r="A53" t="s">
        <v>91</v>
      </c>
      <c r="B53" s="3">
        <v>46092</v>
      </c>
      <c r="C53" t="s">
        <v>10</v>
      </c>
      <c r="D53" t="s">
        <v>16</v>
      </c>
      <c r="E53" t="s">
        <v>17</v>
      </c>
      <c r="F53" t="str">
        <f>_xlfn.XLOOKUP(E53,Product_Lookup!$A$2:$A$14,Product_Lookup!$B$2:$B$14)</f>
        <v>Storage Box</v>
      </c>
      <c r="G53" t="str">
        <f>_xlfn.XLOOKUP(Sales_Data!E53,Product_Lookup!$A$2:$A$14,Product_Lookup!$C$2:$C$14)</f>
        <v>Storage</v>
      </c>
      <c r="H53">
        <f>_xlfn.XLOOKUP(E53,Product_Lookup!$A$2:$A$14,Product_Lookup!$D$2:$D$14)</f>
        <v>26</v>
      </c>
      <c r="I53">
        <v>1</v>
      </c>
      <c r="J53">
        <f t="shared" si="0"/>
        <v>26</v>
      </c>
      <c r="K53" s="4">
        <v>0</v>
      </c>
      <c r="L53" s="7">
        <f t="shared" si="1"/>
        <v>0</v>
      </c>
      <c r="M53" s="7">
        <f t="shared" si="2"/>
        <v>26</v>
      </c>
      <c r="N53" s="7">
        <f>_xlfn.XLOOKUP(E53,Product_Lookup!$A$2:$A$14,Product_Lookup!$E$2:$E$14)</f>
        <v>11</v>
      </c>
      <c r="O53" s="7">
        <f t="shared" si="3"/>
        <v>11</v>
      </c>
      <c r="P53" s="7">
        <f t="shared" si="4"/>
        <v>15</v>
      </c>
      <c r="Q53" s="10">
        <f t="shared" si="5"/>
        <v>0.57692307692307687</v>
      </c>
      <c r="R53" t="s">
        <v>13</v>
      </c>
      <c r="S53" t="s">
        <v>18</v>
      </c>
    </row>
    <row r="54" spans="1:19">
      <c r="A54" t="s">
        <v>92</v>
      </c>
      <c r="B54" s="3">
        <v>46192</v>
      </c>
      <c r="C54" t="s">
        <v>29</v>
      </c>
      <c r="D54" t="s">
        <v>20</v>
      </c>
      <c r="E54" t="s">
        <v>57</v>
      </c>
      <c r="F54" t="str">
        <f>_xlfn.XLOOKUP(E54,Product_Lookup!$A$2:$A$14,Product_Lookup!$B$2:$B$14)</f>
        <v>Shelving Unit</v>
      </c>
      <c r="G54" t="str">
        <f>_xlfn.XLOOKUP(Sales_Data!E54,Product_Lookup!$A$2:$A$14,Product_Lookup!$C$2:$C$14)</f>
        <v>Storage</v>
      </c>
      <c r="H54">
        <f>_xlfn.XLOOKUP(E54,Product_Lookup!$A$2:$A$14,Product_Lookup!$D$2:$D$14)</f>
        <v>115</v>
      </c>
      <c r="I54">
        <v>7</v>
      </c>
      <c r="J54">
        <f t="shared" si="0"/>
        <v>805</v>
      </c>
      <c r="K54" s="4">
        <v>0.2</v>
      </c>
      <c r="L54" s="7">
        <f t="shared" si="1"/>
        <v>161</v>
      </c>
      <c r="M54" s="7">
        <f t="shared" si="2"/>
        <v>644</v>
      </c>
      <c r="N54" s="7">
        <f>_xlfn.XLOOKUP(E54,Product_Lookup!$A$2:$A$14,Product_Lookup!$E$2:$E$14)</f>
        <v>67</v>
      </c>
      <c r="O54" s="7">
        <f t="shared" si="3"/>
        <v>469</v>
      </c>
      <c r="P54" s="7">
        <f t="shared" si="4"/>
        <v>175</v>
      </c>
      <c r="Q54" s="10">
        <f t="shared" si="5"/>
        <v>0.27173913043478259</v>
      </c>
      <c r="R54" t="s">
        <v>36</v>
      </c>
      <c r="S54" t="s">
        <v>48</v>
      </c>
    </row>
    <row r="55" spans="1:19">
      <c r="A55" t="s">
        <v>93</v>
      </c>
      <c r="B55" s="3">
        <v>46067</v>
      </c>
      <c r="C55" t="s">
        <v>29</v>
      </c>
      <c r="D55" t="s">
        <v>16</v>
      </c>
      <c r="E55" t="s">
        <v>76</v>
      </c>
      <c r="F55" t="str">
        <f>_xlfn.XLOOKUP(E55,Product_Lookup!$A$2:$A$14,Product_Lookup!$B$2:$B$14)</f>
        <v>Cookware Set</v>
      </c>
      <c r="G55" t="str">
        <f>_xlfn.XLOOKUP(Sales_Data!E55,Product_Lookup!$A$2:$A$14,Product_Lookup!$C$2:$C$14)</f>
        <v>Kitchenware</v>
      </c>
      <c r="H55">
        <f>_xlfn.XLOOKUP(E55,Product_Lookup!$A$2:$A$14,Product_Lookup!$D$2:$D$14)</f>
        <v>110</v>
      </c>
      <c r="I55">
        <v>7</v>
      </c>
      <c r="J55">
        <f t="shared" si="0"/>
        <v>770</v>
      </c>
      <c r="K55" s="4">
        <v>0</v>
      </c>
      <c r="L55" s="7">
        <f t="shared" si="1"/>
        <v>0</v>
      </c>
      <c r="M55" s="7">
        <f t="shared" si="2"/>
        <v>770</v>
      </c>
      <c r="N55" s="7">
        <f>_xlfn.XLOOKUP(E55,Product_Lookup!$A$2:$A$14,Product_Lookup!$E$2:$E$14)</f>
        <v>65</v>
      </c>
      <c r="O55" s="7">
        <f t="shared" si="3"/>
        <v>455</v>
      </c>
      <c r="P55" s="7">
        <f t="shared" si="4"/>
        <v>315</v>
      </c>
      <c r="Q55" s="10">
        <f t="shared" si="5"/>
        <v>0.40909090909090912</v>
      </c>
      <c r="R55" t="s">
        <v>13</v>
      </c>
      <c r="S55" t="s">
        <v>33</v>
      </c>
    </row>
    <row r="56" spans="1:19">
      <c r="A56" t="s">
        <v>94</v>
      </c>
      <c r="B56" s="3">
        <v>46043</v>
      </c>
      <c r="C56" t="s">
        <v>29</v>
      </c>
      <c r="D56" t="s">
        <v>20</v>
      </c>
      <c r="E56" t="s">
        <v>67</v>
      </c>
      <c r="F56" t="str">
        <f>_xlfn.XLOOKUP(E56,Product_Lookup!$A$2:$A$14,Product_Lookup!$B$2:$B$14)</f>
        <v>Rug</v>
      </c>
      <c r="G56" t="str">
        <f>_xlfn.XLOOKUP(Sales_Data!E56,Product_Lookup!$A$2:$A$14,Product_Lookup!$C$2:$C$14)</f>
        <v>Home Accessories</v>
      </c>
      <c r="H56">
        <f>_xlfn.XLOOKUP(E56,Product_Lookup!$A$2:$A$14,Product_Lookup!$D$2:$D$14)</f>
        <v>145</v>
      </c>
      <c r="I56">
        <v>6</v>
      </c>
      <c r="J56">
        <f t="shared" si="0"/>
        <v>870</v>
      </c>
      <c r="K56" s="4">
        <v>0.1</v>
      </c>
      <c r="L56" s="7">
        <f t="shared" si="1"/>
        <v>87</v>
      </c>
      <c r="M56" s="7">
        <f t="shared" si="2"/>
        <v>783</v>
      </c>
      <c r="N56" s="7">
        <f>_xlfn.XLOOKUP(E56,Product_Lookup!$A$2:$A$14,Product_Lookup!$E$2:$E$14)</f>
        <v>88</v>
      </c>
      <c r="O56" s="7">
        <f t="shared" si="3"/>
        <v>528</v>
      </c>
      <c r="P56" s="7">
        <f t="shared" si="4"/>
        <v>255</v>
      </c>
      <c r="Q56" s="10">
        <f t="shared" si="5"/>
        <v>0.32567049808429116</v>
      </c>
      <c r="R56" t="s">
        <v>13</v>
      </c>
      <c r="S56" t="s">
        <v>48</v>
      </c>
    </row>
    <row r="57" spans="1:19">
      <c r="A57" t="s">
        <v>95</v>
      </c>
      <c r="B57" s="3">
        <v>46046</v>
      </c>
      <c r="C57" t="s">
        <v>29</v>
      </c>
      <c r="D57" t="s">
        <v>16</v>
      </c>
      <c r="E57" t="s">
        <v>76</v>
      </c>
      <c r="F57" t="str">
        <f>_xlfn.XLOOKUP(E57,Product_Lookup!$A$2:$A$14,Product_Lookup!$B$2:$B$14)</f>
        <v>Cookware Set</v>
      </c>
      <c r="G57" t="str">
        <f>_xlfn.XLOOKUP(Sales_Data!E57,Product_Lookup!$A$2:$A$14,Product_Lookup!$C$2:$C$14)</f>
        <v>Kitchenware</v>
      </c>
      <c r="H57">
        <f>_xlfn.XLOOKUP(E57,Product_Lookup!$A$2:$A$14,Product_Lookup!$D$2:$D$14)</f>
        <v>110</v>
      </c>
      <c r="I57">
        <v>3</v>
      </c>
      <c r="J57">
        <f t="shared" si="0"/>
        <v>330</v>
      </c>
      <c r="K57" s="4">
        <v>0.05</v>
      </c>
      <c r="L57" s="7">
        <f t="shared" si="1"/>
        <v>16.5</v>
      </c>
      <c r="M57" s="7">
        <f t="shared" si="2"/>
        <v>313.5</v>
      </c>
      <c r="N57" s="7">
        <f>_xlfn.XLOOKUP(E57,Product_Lookup!$A$2:$A$14,Product_Lookup!$E$2:$E$14)</f>
        <v>65</v>
      </c>
      <c r="O57" s="7">
        <f t="shared" si="3"/>
        <v>195</v>
      </c>
      <c r="P57" s="7">
        <f t="shared" si="4"/>
        <v>118.5</v>
      </c>
      <c r="Q57" s="10">
        <f t="shared" si="5"/>
        <v>0.37799043062200954</v>
      </c>
      <c r="R57" t="s">
        <v>36</v>
      </c>
      <c r="S57" t="s">
        <v>39</v>
      </c>
    </row>
    <row r="58" spans="1:19">
      <c r="A58" t="s">
        <v>96</v>
      </c>
      <c r="B58" s="3">
        <v>46064</v>
      </c>
      <c r="C58" t="s">
        <v>24</v>
      </c>
      <c r="D58" t="s">
        <v>16</v>
      </c>
      <c r="E58" t="s">
        <v>12</v>
      </c>
      <c r="F58" t="str">
        <f>_xlfn.XLOOKUP(E58,Product_Lookup!$A$2:$A$14,Product_Lookup!$B$2:$B$14)</f>
        <v>Desk</v>
      </c>
      <c r="G58" t="str">
        <f>_xlfn.XLOOKUP(Sales_Data!E58,Product_Lookup!$A$2:$A$14,Product_Lookup!$C$2:$C$14)</f>
        <v>Furniture</v>
      </c>
      <c r="H58">
        <f>_xlfn.XLOOKUP(E58,Product_Lookup!$A$2:$A$14,Product_Lookup!$D$2:$D$14)</f>
        <v>210</v>
      </c>
      <c r="I58">
        <v>3</v>
      </c>
      <c r="J58">
        <f t="shared" si="0"/>
        <v>630</v>
      </c>
      <c r="K58" s="4">
        <v>0.1</v>
      </c>
      <c r="L58" s="7">
        <f t="shared" si="1"/>
        <v>63</v>
      </c>
      <c r="M58" s="7">
        <f t="shared" si="2"/>
        <v>567</v>
      </c>
      <c r="N58" s="7">
        <f>_xlfn.XLOOKUP(E58,Product_Lookup!$A$2:$A$14,Product_Lookup!$E$2:$E$14)</f>
        <v>132</v>
      </c>
      <c r="O58" s="7">
        <f t="shared" si="3"/>
        <v>396</v>
      </c>
      <c r="P58" s="7">
        <f t="shared" si="4"/>
        <v>171</v>
      </c>
      <c r="Q58" s="10">
        <f t="shared" si="5"/>
        <v>0.30158730158730157</v>
      </c>
      <c r="R58" t="s">
        <v>13</v>
      </c>
      <c r="S58" t="s">
        <v>33</v>
      </c>
    </row>
    <row r="59" spans="1:19">
      <c r="A59" t="s">
        <v>97</v>
      </c>
      <c r="B59" s="3">
        <v>46078</v>
      </c>
      <c r="C59" t="s">
        <v>10</v>
      </c>
      <c r="D59" t="s">
        <v>20</v>
      </c>
      <c r="E59" t="s">
        <v>98</v>
      </c>
      <c r="F59" t="str">
        <f>_xlfn.XLOOKUP(E59,Product_Lookup!$A$2:$A$14,Product_Lookup!$B$2:$B$14)</f>
        <v>Blender</v>
      </c>
      <c r="G59" t="str">
        <f>_xlfn.XLOOKUP(Sales_Data!E59,Product_Lookup!$A$2:$A$14,Product_Lookup!$C$2:$C$14)</f>
        <v>Kitchenware</v>
      </c>
      <c r="H59">
        <f>_xlfn.XLOOKUP(E59,Product_Lookup!$A$2:$A$14,Product_Lookup!$D$2:$D$14)</f>
        <v>75</v>
      </c>
      <c r="I59">
        <v>4</v>
      </c>
      <c r="J59">
        <f t="shared" si="0"/>
        <v>300</v>
      </c>
      <c r="K59" s="4">
        <v>0.05</v>
      </c>
      <c r="L59" s="7">
        <f t="shared" si="1"/>
        <v>15</v>
      </c>
      <c r="M59" s="7">
        <f t="shared" si="2"/>
        <v>285</v>
      </c>
      <c r="N59" s="7">
        <f>_xlfn.XLOOKUP(E59,Product_Lookup!$A$2:$A$14,Product_Lookup!$E$2:$E$14)</f>
        <v>43</v>
      </c>
      <c r="O59" s="7">
        <f t="shared" si="3"/>
        <v>172</v>
      </c>
      <c r="P59" s="7">
        <f t="shared" si="4"/>
        <v>113</v>
      </c>
      <c r="Q59" s="10">
        <f t="shared" si="5"/>
        <v>0.39649122807017545</v>
      </c>
      <c r="R59" t="s">
        <v>13</v>
      </c>
      <c r="S59" t="s">
        <v>33</v>
      </c>
    </row>
    <row r="60" spans="1:19">
      <c r="A60" t="s">
        <v>99</v>
      </c>
      <c r="B60" s="3">
        <v>46111</v>
      </c>
      <c r="C60" t="s">
        <v>24</v>
      </c>
      <c r="D60" t="s">
        <v>16</v>
      </c>
      <c r="E60" t="s">
        <v>25</v>
      </c>
      <c r="F60" t="str">
        <f>_xlfn.XLOOKUP(E60,Product_Lookup!$A$2:$A$14,Product_Lookup!$B$2:$B$14)</f>
        <v>Table Lamp</v>
      </c>
      <c r="G60" t="str">
        <f>_xlfn.XLOOKUP(Sales_Data!E60,Product_Lookup!$A$2:$A$14,Product_Lookup!$C$2:$C$14)</f>
        <v>Lighting</v>
      </c>
      <c r="H60">
        <f>_xlfn.XLOOKUP(E60,Product_Lookup!$A$2:$A$14,Product_Lookup!$D$2:$D$14)</f>
        <v>62</v>
      </c>
      <c r="I60">
        <v>1</v>
      </c>
      <c r="J60">
        <f t="shared" si="0"/>
        <v>62</v>
      </c>
      <c r="K60" s="4">
        <v>0.15</v>
      </c>
      <c r="L60" s="7">
        <f t="shared" si="1"/>
        <v>9.2999999999999989</v>
      </c>
      <c r="M60" s="7">
        <f t="shared" si="2"/>
        <v>52.7</v>
      </c>
      <c r="N60" s="7">
        <f>_xlfn.XLOOKUP(E60,Product_Lookup!$A$2:$A$14,Product_Lookup!$E$2:$E$14)</f>
        <v>31</v>
      </c>
      <c r="O60" s="7">
        <f t="shared" si="3"/>
        <v>31</v>
      </c>
      <c r="P60" s="7">
        <f t="shared" si="4"/>
        <v>21.700000000000003</v>
      </c>
      <c r="Q60" s="10">
        <f t="shared" si="5"/>
        <v>0.41176470588235298</v>
      </c>
      <c r="R60" t="s">
        <v>13</v>
      </c>
      <c r="S60" t="s">
        <v>33</v>
      </c>
    </row>
    <row r="61" spans="1:19">
      <c r="A61" t="s">
        <v>100</v>
      </c>
      <c r="B61" s="3">
        <v>46061</v>
      </c>
      <c r="C61" t="s">
        <v>10</v>
      </c>
      <c r="D61" t="s">
        <v>20</v>
      </c>
      <c r="E61" t="s">
        <v>54</v>
      </c>
      <c r="F61" t="str">
        <f>_xlfn.XLOOKUP(E61,Product_Lookup!$A$2:$A$14,Product_Lookup!$B$2:$B$14)</f>
        <v>Wall Mirror</v>
      </c>
      <c r="G61" t="str">
        <f>_xlfn.XLOOKUP(Sales_Data!E61,Product_Lookup!$A$2:$A$14,Product_Lookup!$C$2:$C$14)</f>
        <v>Home Accessories</v>
      </c>
      <c r="H61">
        <f>_xlfn.XLOOKUP(E61,Product_Lookup!$A$2:$A$14,Product_Lookup!$D$2:$D$14)</f>
        <v>85</v>
      </c>
      <c r="I61">
        <v>7</v>
      </c>
      <c r="J61">
        <f t="shared" si="0"/>
        <v>595</v>
      </c>
      <c r="K61" s="4">
        <v>0.05</v>
      </c>
      <c r="L61" s="7">
        <f t="shared" si="1"/>
        <v>29.75</v>
      </c>
      <c r="M61" s="7">
        <f t="shared" si="2"/>
        <v>565.25</v>
      </c>
      <c r="N61" s="7">
        <f>_xlfn.XLOOKUP(E61,Product_Lookup!$A$2:$A$14,Product_Lookup!$E$2:$E$14)</f>
        <v>41</v>
      </c>
      <c r="O61" s="7">
        <f t="shared" si="3"/>
        <v>287</v>
      </c>
      <c r="P61" s="7">
        <f t="shared" si="4"/>
        <v>278.25</v>
      </c>
      <c r="Q61" s="10">
        <f t="shared" si="5"/>
        <v>0.49226006191950467</v>
      </c>
      <c r="R61" t="s">
        <v>13</v>
      </c>
      <c r="S61" t="s">
        <v>22</v>
      </c>
    </row>
    <row r="62" spans="1:19">
      <c r="A62" t="s">
        <v>101</v>
      </c>
      <c r="B62" s="3">
        <v>46082</v>
      </c>
      <c r="C62" t="s">
        <v>29</v>
      </c>
      <c r="D62" t="s">
        <v>20</v>
      </c>
      <c r="E62" t="s">
        <v>30</v>
      </c>
      <c r="F62" t="str">
        <f>_xlfn.XLOOKUP(E62,Product_Lookup!$A$2:$A$14,Product_Lookup!$B$2:$B$14)</f>
        <v>Dining Chair</v>
      </c>
      <c r="G62" t="str">
        <f>_xlfn.XLOOKUP(Sales_Data!E62,Product_Lookup!$A$2:$A$14,Product_Lookup!$C$2:$C$14)</f>
        <v>Furniture</v>
      </c>
      <c r="H62">
        <f>_xlfn.XLOOKUP(E62,Product_Lookup!$A$2:$A$14,Product_Lookup!$D$2:$D$14)</f>
        <v>95</v>
      </c>
      <c r="I62">
        <v>7</v>
      </c>
      <c r="J62">
        <f t="shared" si="0"/>
        <v>665</v>
      </c>
      <c r="K62" s="4">
        <v>0</v>
      </c>
      <c r="L62" s="7">
        <f t="shared" si="1"/>
        <v>0</v>
      </c>
      <c r="M62" s="7">
        <f t="shared" si="2"/>
        <v>665</v>
      </c>
      <c r="N62" s="7">
        <f>_xlfn.XLOOKUP(E62,Product_Lookup!$A$2:$A$14,Product_Lookup!$E$2:$E$14)</f>
        <v>54</v>
      </c>
      <c r="O62" s="7">
        <f t="shared" si="3"/>
        <v>378</v>
      </c>
      <c r="P62" s="7">
        <f t="shared" si="4"/>
        <v>287</v>
      </c>
      <c r="Q62" s="10">
        <f t="shared" si="5"/>
        <v>0.43157894736842106</v>
      </c>
      <c r="R62" t="s">
        <v>13</v>
      </c>
      <c r="S62" t="s">
        <v>48</v>
      </c>
    </row>
    <row r="63" spans="1:19">
      <c r="A63" t="s">
        <v>102</v>
      </c>
      <c r="B63" s="3">
        <v>46108</v>
      </c>
      <c r="C63" t="s">
        <v>29</v>
      </c>
      <c r="D63" t="s">
        <v>11</v>
      </c>
      <c r="E63" t="s">
        <v>32</v>
      </c>
      <c r="F63" t="str">
        <f>_xlfn.XLOOKUP(E63,Product_Lookup!$A$2:$A$14,Product_Lookup!$B$2:$B$14)</f>
        <v>Sofa</v>
      </c>
      <c r="G63" t="str">
        <f>_xlfn.XLOOKUP(Sales_Data!E63,Product_Lookup!$A$2:$A$14,Product_Lookup!$C$2:$C$14)</f>
        <v>Furniture</v>
      </c>
      <c r="H63">
        <f>_xlfn.XLOOKUP(E63,Product_Lookup!$A$2:$A$14,Product_Lookup!$D$2:$D$14)</f>
        <v>420</v>
      </c>
      <c r="I63">
        <v>4</v>
      </c>
      <c r="J63">
        <f t="shared" si="0"/>
        <v>1680</v>
      </c>
      <c r="K63" s="4">
        <v>0.05</v>
      </c>
      <c r="L63" s="7">
        <f t="shared" si="1"/>
        <v>84</v>
      </c>
      <c r="M63" s="7">
        <f t="shared" si="2"/>
        <v>1596</v>
      </c>
      <c r="N63" s="7">
        <f>_xlfn.XLOOKUP(E63,Product_Lookup!$A$2:$A$14,Product_Lookup!$E$2:$E$14)</f>
        <v>280</v>
      </c>
      <c r="O63" s="7">
        <f t="shared" si="3"/>
        <v>1120</v>
      </c>
      <c r="P63" s="7">
        <f t="shared" si="4"/>
        <v>476</v>
      </c>
      <c r="Q63" s="10">
        <f t="shared" si="5"/>
        <v>0.2982456140350877</v>
      </c>
      <c r="R63" t="s">
        <v>36</v>
      </c>
      <c r="S63" t="s">
        <v>42</v>
      </c>
    </row>
    <row r="64" spans="1:19">
      <c r="A64" t="s">
        <v>103</v>
      </c>
      <c r="B64" s="3">
        <v>46194</v>
      </c>
      <c r="C64" t="s">
        <v>24</v>
      </c>
      <c r="D64" t="s">
        <v>11</v>
      </c>
      <c r="E64" t="s">
        <v>45</v>
      </c>
      <c r="F64" t="str">
        <f>_xlfn.XLOOKUP(E64,Product_Lookup!$A$2:$A$14,Product_Lookup!$B$2:$B$14)</f>
        <v>Cushion Set</v>
      </c>
      <c r="G64" t="str">
        <f>_xlfn.XLOOKUP(Sales_Data!E64,Product_Lookup!$A$2:$A$14,Product_Lookup!$C$2:$C$14)</f>
        <v>Home Accessories</v>
      </c>
      <c r="H64">
        <f>_xlfn.XLOOKUP(E64,Product_Lookup!$A$2:$A$14,Product_Lookup!$D$2:$D$14)</f>
        <v>32</v>
      </c>
      <c r="I64">
        <v>4</v>
      </c>
      <c r="J64">
        <f t="shared" si="0"/>
        <v>128</v>
      </c>
      <c r="K64" s="4">
        <v>0.2</v>
      </c>
      <c r="L64" s="7">
        <f t="shared" si="1"/>
        <v>25.6</v>
      </c>
      <c r="M64" s="7">
        <f t="shared" si="2"/>
        <v>102.4</v>
      </c>
      <c r="N64" s="7">
        <f>_xlfn.XLOOKUP(E64,Product_Lookup!$A$2:$A$14,Product_Lookup!$E$2:$E$14)</f>
        <v>14</v>
      </c>
      <c r="O64" s="7">
        <f t="shared" si="3"/>
        <v>56</v>
      </c>
      <c r="P64" s="7">
        <f t="shared" si="4"/>
        <v>46.400000000000006</v>
      </c>
      <c r="Q64" s="10">
        <f t="shared" si="5"/>
        <v>0.45312500000000006</v>
      </c>
      <c r="R64" t="s">
        <v>13</v>
      </c>
      <c r="S64" t="s">
        <v>48</v>
      </c>
    </row>
    <row r="65" spans="1:19">
      <c r="A65" t="s">
        <v>104</v>
      </c>
      <c r="B65" s="3">
        <v>46048</v>
      </c>
      <c r="C65" t="s">
        <v>38</v>
      </c>
      <c r="D65" t="s">
        <v>16</v>
      </c>
      <c r="E65" t="s">
        <v>12</v>
      </c>
      <c r="F65" t="str">
        <f>_xlfn.XLOOKUP(E65,Product_Lookup!$A$2:$A$14,Product_Lookup!$B$2:$B$14)</f>
        <v>Desk</v>
      </c>
      <c r="G65" t="str">
        <f>_xlfn.XLOOKUP(Sales_Data!E65,Product_Lookup!$A$2:$A$14,Product_Lookup!$C$2:$C$14)</f>
        <v>Furniture</v>
      </c>
      <c r="H65">
        <f>_xlfn.XLOOKUP(E65,Product_Lookup!$A$2:$A$14,Product_Lookup!$D$2:$D$14)</f>
        <v>210</v>
      </c>
      <c r="I65">
        <v>1</v>
      </c>
      <c r="J65">
        <f t="shared" si="0"/>
        <v>210</v>
      </c>
      <c r="K65" s="4">
        <v>0.05</v>
      </c>
      <c r="L65" s="7">
        <f t="shared" si="1"/>
        <v>10.5</v>
      </c>
      <c r="M65" s="7">
        <f t="shared" si="2"/>
        <v>199.5</v>
      </c>
      <c r="N65" s="7">
        <f>_xlfn.XLOOKUP(E65,Product_Lookup!$A$2:$A$14,Product_Lookup!$E$2:$E$14)</f>
        <v>132</v>
      </c>
      <c r="O65" s="7">
        <f t="shared" si="3"/>
        <v>132</v>
      </c>
      <c r="P65" s="7">
        <f t="shared" si="4"/>
        <v>67.5</v>
      </c>
      <c r="Q65" s="10">
        <f t="shared" si="5"/>
        <v>0.33834586466165412</v>
      </c>
      <c r="R65" t="s">
        <v>13</v>
      </c>
      <c r="S65" t="s">
        <v>18</v>
      </c>
    </row>
    <row r="66" spans="1:19">
      <c r="A66" t="s">
        <v>105</v>
      </c>
      <c r="B66" s="3">
        <v>46135</v>
      </c>
      <c r="C66" t="s">
        <v>38</v>
      </c>
      <c r="D66" t="s">
        <v>20</v>
      </c>
      <c r="E66" t="s">
        <v>27</v>
      </c>
      <c r="F66" t="str">
        <f>_xlfn.XLOOKUP(E66,Product_Lookup!$A$2:$A$14,Product_Lookup!$B$2:$B$14)</f>
        <v>Kettle</v>
      </c>
      <c r="G66" t="str">
        <f>_xlfn.XLOOKUP(Sales_Data!E66,Product_Lookup!$A$2:$A$14,Product_Lookup!$C$2:$C$14)</f>
        <v>Kitchenware</v>
      </c>
      <c r="H66">
        <f>_xlfn.XLOOKUP(E66,Product_Lookup!$A$2:$A$14,Product_Lookup!$D$2:$D$14)</f>
        <v>38</v>
      </c>
      <c r="I66">
        <v>2</v>
      </c>
      <c r="J66">
        <f t="shared" si="0"/>
        <v>76</v>
      </c>
      <c r="K66" s="4">
        <v>0.05</v>
      </c>
      <c r="L66" s="7">
        <f t="shared" si="1"/>
        <v>3.8000000000000003</v>
      </c>
      <c r="M66" s="7">
        <f t="shared" si="2"/>
        <v>72.2</v>
      </c>
      <c r="N66" s="7">
        <f>_xlfn.XLOOKUP(E66,Product_Lookup!$A$2:$A$14,Product_Lookup!$E$2:$E$14)</f>
        <v>21</v>
      </c>
      <c r="O66" s="7">
        <f t="shared" si="3"/>
        <v>42</v>
      </c>
      <c r="P66" s="7">
        <f t="shared" si="4"/>
        <v>30.200000000000003</v>
      </c>
      <c r="Q66" s="10">
        <f t="shared" si="5"/>
        <v>0.4182825484764543</v>
      </c>
      <c r="R66" t="s">
        <v>13</v>
      </c>
      <c r="S66" t="s">
        <v>42</v>
      </c>
    </row>
    <row r="67" spans="1:19">
      <c r="A67" t="s">
        <v>106</v>
      </c>
      <c r="B67" s="3">
        <v>46129</v>
      </c>
      <c r="C67" t="s">
        <v>44</v>
      </c>
      <c r="D67" t="s">
        <v>11</v>
      </c>
      <c r="E67" t="s">
        <v>76</v>
      </c>
      <c r="F67" t="str">
        <f>_xlfn.XLOOKUP(E67,Product_Lookup!$A$2:$A$14,Product_Lookup!$B$2:$B$14)</f>
        <v>Cookware Set</v>
      </c>
      <c r="G67" t="str">
        <f>_xlfn.XLOOKUP(Sales_Data!E67,Product_Lookup!$A$2:$A$14,Product_Lookup!$C$2:$C$14)</f>
        <v>Kitchenware</v>
      </c>
      <c r="H67">
        <f>_xlfn.XLOOKUP(E67,Product_Lookup!$A$2:$A$14,Product_Lookup!$D$2:$D$14)</f>
        <v>110</v>
      </c>
      <c r="I67">
        <v>3</v>
      </c>
      <c r="J67">
        <f t="shared" ref="J67:J130" si="6">H67*I67</f>
        <v>330</v>
      </c>
      <c r="K67" s="4">
        <v>0</v>
      </c>
      <c r="L67" s="7">
        <f t="shared" ref="L67:L130" si="7">J67*K67</f>
        <v>0</v>
      </c>
      <c r="M67" s="7">
        <f t="shared" ref="M67:M130" si="8">J67-L67</f>
        <v>330</v>
      </c>
      <c r="N67" s="7">
        <f>_xlfn.XLOOKUP(E67,Product_Lookup!$A$2:$A$14,Product_Lookup!$E$2:$E$14)</f>
        <v>65</v>
      </c>
      <c r="O67" s="7">
        <f t="shared" ref="O67:O130" si="9">N67*I67</f>
        <v>195</v>
      </c>
      <c r="P67" s="7">
        <f t="shared" ref="P67:P130" si="10">M67-O67</f>
        <v>135</v>
      </c>
      <c r="Q67" s="10">
        <f t="shared" ref="Q67:Q130" si="11">P67/M67</f>
        <v>0.40909090909090912</v>
      </c>
      <c r="R67" t="s">
        <v>13</v>
      </c>
      <c r="S67" t="s">
        <v>48</v>
      </c>
    </row>
    <row r="68" spans="1:19">
      <c r="A68" t="s">
        <v>107</v>
      </c>
      <c r="B68" s="3">
        <v>46111</v>
      </c>
      <c r="C68" t="s">
        <v>29</v>
      </c>
      <c r="D68" t="s">
        <v>20</v>
      </c>
      <c r="E68" t="s">
        <v>41</v>
      </c>
      <c r="F68" t="str">
        <f>_xlfn.XLOOKUP(E68,Product_Lookup!$A$2:$A$14,Product_Lookup!$B$2:$B$14)</f>
        <v>Floor Lamp</v>
      </c>
      <c r="G68" t="str">
        <f>_xlfn.XLOOKUP(Sales_Data!E68,Product_Lookup!$A$2:$A$14,Product_Lookup!$C$2:$C$14)</f>
        <v>Lighting</v>
      </c>
      <c r="H68">
        <f>_xlfn.XLOOKUP(E68,Product_Lookup!$A$2:$A$14,Product_Lookup!$D$2:$D$14)</f>
        <v>125</v>
      </c>
      <c r="I68">
        <v>5</v>
      </c>
      <c r="J68">
        <f t="shared" si="6"/>
        <v>625</v>
      </c>
      <c r="K68" s="4">
        <v>0.1</v>
      </c>
      <c r="L68" s="7">
        <f t="shared" si="7"/>
        <v>62.5</v>
      </c>
      <c r="M68" s="7">
        <f t="shared" si="8"/>
        <v>562.5</v>
      </c>
      <c r="N68" s="7">
        <f>_xlfn.XLOOKUP(E68,Product_Lookup!$A$2:$A$14,Product_Lookup!$E$2:$E$14)</f>
        <v>73</v>
      </c>
      <c r="O68" s="7">
        <f t="shared" si="9"/>
        <v>365</v>
      </c>
      <c r="P68" s="7">
        <f t="shared" si="10"/>
        <v>197.5</v>
      </c>
      <c r="Q68" s="10">
        <f t="shared" si="11"/>
        <v>0.3511111111111111</v>
      </c>
      <c r="R68" t="s">
        <v>13</v>
      </c>
      <c r="S68" t="s">
        <v>18</v>
      </c>
    </row>
    <row r="69" spans="1:19">
      <c r="A69" t="s">
        <v>108</v>
      </c>
      <c r="B69" s="3">
        <v>46125</v>
      </c>
      <c r="C69" t="s">
        <v>24</v>
      </c>
      <c r="D69" t="s">
        <v>20</v>
      </c>
      <c r="E69" t="s">
        <v>54</v>
      </c>
      <c r="F69" t="str">
        <f>_xlfn.XLOOKUP(E69,Product_Lookup!$A$2:$A$14,Product_Lookup!$B$2:$B$14)</f>
        <v>Wall Mirror</v>
      </c>
      <c r="G69" t="str">
        <f>_xlfn.XLOOKUP(Sales_Data!E69,Product_Lookup!$A$2:$A$14,Product_Lookup!$C$2:$C$14)</f>
        <v>Home Accessories</v>
      </c>
      <c r="H69">
        <f>_xlfn.XLOOKUP(E69,Product_Lookup!$A$2:$A$14,Product_Lookup!$D$2:$D$14)</f>
        <v>85</v>
      </c>
      <c r="I69">
        <v>3</v>
      </c>
      <c r="J69">
        <f t="shared" si="6"/>
        <v>255</v>
      </c>
      <c r="K69" s="4">
        <v>0</v>
      </c>
      <c r="L69" s="7">
        <f t="shared" si="7"/>
        <v>0</v>
      </c>
      <c r="M69" s="7">
        <f t="shared" si="8"/>
        <v>255</v>
      </c>
      <c r="N69" s="7">
        <f>_xlfn.XLOOKUP(E69,Product_Lookup!$A$2:$A$14,Product_Lookup!$E$2:$E$14)</f>
        <v>41</v>
      </c>
      <c r="O69" s="7">
        <f t="shared" si="9"/>
        <v>123</v>
      </c>
      <c r="P69" s="7">
        <f t="shared" si="10"/>
        <v>132</v>
      </c>
      <c r="Q69" s="10">
        <f t="shared" si="11"/>
        <v>0.51764705882352946</v>
      </c>
      <c r="R69" t="s">
        <v>13</v>
      </c>
      <c r="S69" t="s">
        <v>48</v>
      </c>
    </row>
    <row r="70" spans="1:19">
      <c r="A70" t="s">
        <v>109</v>
      </c>
      <c r="B70" s="3">
        <v>46194</v>
      </c>
      <c r="C70" t="s">
        <v>38</v>
      </c>
      <c r="D70" t="s">
        <v>16</v>
      </c>
      <c r="E70" t="s">
        <v>12</v>
      </c>
      <c r="F70" t="str">
        <f>_xlfn.XLOOKUP(E70,Product_Lookup!$A$2:$A$14,Product_Lookup!$B$2:$B$14)</f>
        <v>Desk</v>
      </c>
      <c r="G70" t="str">
        <f>_xlfn.XLOOKUP(Sales_Data!E70,Product_Lookup!$A$2:$A$14,Product_Lookup!$C$2:$C$14)</f>
        <v>Furniture</v>
      </c>
      <c r="H70">
        <f>_xlfn.XLOOKUP(E70,Product_Lookup!$A$2:$A$14,Product_Lookup!$D$2:$D$14)</f>
        <v>210</v>
      </c>
      <c r="I70">
        <v>7</v>
      </c>
      <c r="J70">
        <f t="shared" si="6"/>
        <v>1470</v>
      </c>
      <c r="K70" s="4">
        <v>0.05</v>
      </c>
      <c r="L70" s="7">
        <f t="shared" si="7"/>
        <v>73.5</v>
      </c>
      <c r="M70" s="7">
        <f t="shared" si="8"/>
        <v>1396.5</v>
      </c>
      <c r="N70" s="7">
        <f>_xlfn.XLOOKUP(E70,Product_Lookup!$A$2:$A$14,Product_Lookup!$E$2:$E$14)</f>
        <v>132</v>
      </c>
      <c r="O70" s="7">
        <f t="shared" si="9"/>
        <v>924</v>
      </c>
      <c r="P70" s="7">
        <f t="shared" si="10"/>
        <v>472.5</v>
      </c>
      <c r="Q70" s="10">
        <f t="shared" si="11"/>
        <v>0.33834586466165412</v>
      </c>
      <c r="R70" t="s">
        <v>13</v>
      </c>
      <c r="S70" t="s">
        <v>33</v>
      </c>
    </row>
    <row r="71" spans="1:19">
      <c r="A71" t="s">
        <v>110</v>
      </c>
      <c r="B71" s="3">
        <v>46152</v>
      </c>
      <c r="C71" t="s">
        <v>24</v>
      </c>
      <c r="D71" t="s">
        <v>16</v>
      </c>
      <c r="E71" t="s">
        <v>30</v>
      </c>
      <c r="F71" t="str">
        <f>_xlfn.XLOOKUP(E71,Product_Lookup!$A$2:$A$14,Product_Lookup!$B$2:$B$14)</f>
        <v>Dining Chair</v>
      </c>
      <c r="G71" t="str">
        <f>_xlfn.XLOOKUP(Sales_Data!E71,Product_Lookup!$A$2:$A$14,Product_Lookup!$C$2:$C$14)</f>
        <v>Furniture</v>
      </c>
      <c r="H71">
        <f>_xlfn.XLOOKUP(E71,Product_Lookup!$A$2:$A$14,Product_Lookup!$D$2:$D$14)</f>
        <v>95</v>
      </c>
      <c r="I71">
        <v>6</v>
      </c>
      <c r="J71">
        <f t="shared" si="6"/>
        <v>570</v>
      </c>
      <c r="K71" s="4">
        <v>0</v>
      </c>
      <c r="L71" s="7">
        <f t="shared" si="7"/>
        <v>0</v>
      </c>
      <c r="M71" s="7">
        <f t="shared" si="8"/>
        <v>570</v>
      </c>
      <c r="N71" s="7">
        <f>_xlfn.XLOOKUP(E71,Product_Lookup!$A$2:$A$14,Product_Lookup!$E$2:$E$14)</f>
        <v>54</v>
      </c>
      <c r="O71" s="7">
        <f t="shared" si="9"/>
        <v>324</v>
      </c>
      <c r="P71" s="7">
        <f t="shared" si="10"/>
        <v>246</v>
      </c>
      <c r="Q71" s="10">
        <f t="shared" si="11"/>
        <v>0.43157894736842106</v>
      </c>
      <c r="R71" t="s">
        <v>13</v>
      </c>
      <c r="S71" t="s">
        <v>22</v>
      </c>
    </row>
    <row r="72" spans="1:19">
      <c r="A72" t="s">
        <v>111</v>
      </c>
      <c r="B72" s="3">
        <v>46192</v>
      </c>
      <c r="C72" t="s">
        <v>38</v>
      </c>
      <c r="D72" t="s">
        <v>20</v>
      </c>
      <c r="E72" t="s">
        <v>67</v>
      </c>
      <c r="F72" t="str">
        <f>_xlfn.XLOOKUP(E72,Product_Lookup!$A$2:$A$14,Product_Lookup!$B$2:$B$14)</f>
        <v>Rug</v>
      </c>
      <c r="G72" t="str">
        <f>_xlfn.XLOOKUP(Sales_Data!E72,Product_Lookup!$A$2:$A$14,Product_Lookup!$C$2:$C$14)</f>
        <v>Home Accessories</v>
      </c>
      <c r="H72">
        <f>_xlfn.XLOOKUP(E72,Product_Lookup!$A$2:$A$14,Product_Lookup!$D$2:$D$14)</f>
        <v>145</v>
      </c>
      <c r="I72">
        <v>3</v>
      </c>
      <c r="J72">
        <f t="shared" si="6"/>
        <v>435</v>
      </c>
      <c r="K72" s="4">
        <v>0</v>
      </c>
      <c r="L72" s="7">
        <f t="shared" si="7"/>
        <v>0</v>
      </c>
      <c r="M72" s="7">
        <f t="shared" si="8"/>
        <v>435</v>
      </c>
      <c r="N72" s="7">
        <f>_xlfn.XLOOKUP(E72,Product_Lookup!$A$2:$A$14,Product_Lookup!$E$2:$E$14)</f>
        <v>88</v>
      </c>
      <c r="O72" s="7">
        <f t="shared" si="9"/>
        <v>264</v>
      </c>
      <c r="P72" s="7">
        <f t="shared" si="10"/>
        <v>171</v>
      </c>
      <c r="Q72" s="10">
        <f t="shared" si="11"/>
        <v>0.39310344827586208</v>
      </c>
      <c r="R72" t="s">
        <v>13</v>
      </c>
      <c r="S72" t="s">
        <v>18</v>
      </c>
    </row>
    <row r="73" spans="1:19">
      <c r="A73" t="s">
        <v>112</v>
      </c>
      <c r="B73" s="3">
        <v>46087</v>
      </c>
      <c r="C73" t="s">
        <v>10</v>
      </c>
      <c r="D73" t="s">
        <v>16</v>
      </c>
      <c r="E73" t="s">
        <v>27</v>
      </c>
      <c r="F73" t="str">
        <f>_xlfn.XLOOKUP(E73,Product_Lookup!$A$2:$A$14,Product_Lookup!$B$2:$B$14)</f>
        <v>Kettle</v>
      </c>
      <c r="G73" t="str">
        <f>_xlfn.XLOOKUP(Sales_Data!E73,Product_Lookup!$A$2:$A$14,Product_Lookup!$C$2:$C$14)</f>
        <v>Kitchenware</v>
      </c>
      <c r="H73">
        <f>_xlfn.XLOOKUP(E73,Product_Lookup!$A$2:$A$14,Product_Lookup!$D$2:$D$14)</f>
        <v>38</v>
      </c>
      <c r="I73">
        <v>1</v>
      </c>
      <c r="J73">
        <f t="shared" si="6"/>
        <v>38</v>
      </c>
      <c r="K73" s="4">
        <v>0.2</v>
      </c>
      <c r="L73" s="7">
        <f t="shared" si="7"/>
        <v>7.6000000000000005</v>
      </c>
      <c r="M73" s="7">
        <f t="shared" si="8"/>
        <v>30.4</v>
      </c>
      <c r="N73" s="7">
        <f>_xlfn.XLOOKUP(E73,Product_Lookup!$A$2:$A$14,Product_Lookup!$E$2:$E$14)</f>
        <v>21</v>
      </c>
      <c r="O73" s="7">
        <f t="shared" si="9"/>
        <v>21</v>
      </c>
      <c r="P73" s="7">
        <f t="shared" si="10"/>
        <v>9.3999999999999986</v>
      </c>
      <c r="Q73" s="10">
        <f t="shared" si="11"/>
        <v>0.30921052631578944</v>
      </c>
      <c r="R73" t="s">
        <v>36</v>
      </c>
      <c r="S73" t="s">
        <v>39</v>
      </c>
    </row>
    <row r="74" spans="1:19">
      <c r="A74" t="s">
        <v>113</v>
      </c>
      <c r="B74" s="3">
        <v>46133</v>
      </c>
      <c r="C74" t="s">
        <v>38</v>
      </c>
      <c r="D74" t="s">
        <v>20</v>
      </c>
      <c r="E74" t="s">
        <v>32</v>
      </c>
      <c r="F74" t="str">
        <f>_xlfn.XLOOKUP(E74,Product_Lookup!$A$2:$A$14,Product_Lookup!$B$2:$B$14)</f>
        <v>Sofa</v>
      </c>
      <c r="G74" t="str">
        <f>_xlfn.XLOOKUP(Sales_Data!E74,Product_Lookup!$A$2:$A$14,Product_Lookup!$C$2:$C$14)</f>
        <v>Furniture</v>
      </c>
      <c r="H74">
        <f>_xlfn.XLOOKUP(E74,Product_Lookup!$A$2:$A$14,Product_Lookup!$D$2:$D$14)</f>
        <v>420</v>
      </c>
      <c r="I74">
        <v>2</v>
      </c>
      <c r="J74">
        <f t="shared" si="6"/>
        <v>840</v>
      </c>
      <c r="K74" s="4">
        <v>0.15</v>
      </c>
      <c r="L74" s="7">
        <f t="shared" si="7"/>
        <v>126</v>
      </c>
      <c r="M74" s="7">
        <f t="shared" si="8"/>
        <v>714</v>
      </c>
      <c r="N74" s="7">
        <f>_xlfn.XLOOKUP(E74,Product_Lookup!$A$2:$A$14,Product_Lookup!$E$2:$E$14)</f>
        <v>280</v>
      </c>
      <c r="O74" s="7">
        <f t="shared" si="9"/>
        <v>560</v>
      </c>
      <c r="P74" s="7">
        <f t="shared" si="10"/>
        <v>154</v>
      </c>
      <c r="Q74" s="10">
        <f t="shared" si="11"/>
        <v>0.21568627450980393</v>
      </c>
      <c r="R74" t="s">
        <v>13</v>
      </c>
      <c r="S74" t="s">
        <v>39</v>
      </c>
    </row>
    <row r="75" spans="1:19">
      <c r="A75" t="s">
        <v>114</v>
      </c>
      <c r="B75" s="3">
        <v>46159</v>
      </c>
      <c r="C75" t="s">
        <v>24</v>
      </c>
      <c r="D75" t="s">
        <v>16</v>
      </c>
      <c r="E75" t="s">
        <v>17</v>
      </c>
      <c r="F75" t="str">
        <f>_xlfn.XLOOKUP(E75,Product_Lookup!$A$2:$A$14,Product_Lookup!$B$2:$B$14)</f>
        <v>Storage Box</v>
      </c>
      <c r="G75" t="str">
        <f>_xlfn.XLOOKUP(Sales_Data!E75,Product_Lookup!$A$2:$A$14,Product_Lookup!$C$2:$C$14)</f>
        <v>Storage</v>
      </c>
      <c r="H75">
        <f>_xlfn.XLOOKUP(E75,Product_Lookup!$A$2:$A$14,Product_Lookup!$D$2:$D$14)</f>
        <v>26</v>
      </c>
      <c r="I75">
        <v>4</v>
      </c>
      <c r="J75">
        <f t="shared" si="6"/>
        <v>104</v>
      </c>
      <c r="K75" s="4">
        <v>0.2</v>
      </c>
      <c r="L75" s="7">
        <f t="shared" si="7"/>
        <v>20.8</v>
      </c>
      <c r="M75" s="7">
        <f t="shared" si="8"/>
        <v>83.2</v>
      </c>
      <c r="N75" s="7">
        <f>_xlfn.XLOOKUP(E75,Product_Lookup!$A$2:$A$14,Product_Lookup!$E$2:$E$14)</f>
        <v>11</v>
      </c>
      <c r="O75" s="7">
        <f t="shared" si="9"/>
        <v>44</v>
      </c>
      <c r="P75" s="7">
        <f t="shared" si="10"/>
        <v>39.200000000000003</v>
      </c>
      <c r="Q75" s="10">
        <f t="shared" si="11"/>
        <v>0.47115384615384615</v>
      </c>
      <c r="R75" t="s">
        <v>13</v>
      </c>
      <c r="S75" t="s">
        <v>42</v>
      </c>
    </row>
    <row r="76" spans="1:19">
      <c r="A76" t="s">
        <v>115</v>
      </c>
      <c r="B76" s="3">
        <v>46124</v>
      </c>
      <c r="C76" t="s">
        <v>29</v>
      </c>
      <c r="D76" t="s">
        <v>16</v>
      </c>
      <c r="E76" t="s">
        <v>41</v>
      </c>
      <c r="F76" t="str">
        <f>_xlfn.XLOOKUP(E76,Product_Lookup!$A$2:$A$14,Product_Lookup!$B$2:$B$14)</f>
        <v>Floor Lamp</v>
      </c>
      <c r="G76" t="str">
        <f>_xlfn.XLOOKUP(Sales_Data!E76,Product_Lookup!$A$2:$A$14,Product_Lookup!$C$2:$C$14)</f>
        <v>Lighting</v>
      </c>
      <c r="H76">
        <f>_xlfn.XLOOKUP(E76,Product_Lookup!$A$2:$A$14,Product_Lookup!$D$2:$D$14)</f>
        <v>125</v>
      </c>
      <c r="I76">
        <v>4</v>
      </c>
      <c r="J76">
        <f t="shared" si="6"/>
        <v>500</v>
      </c>
      <c r="K76" s="4">
        <v>0</v>
      </c>
      <c r="L76" s="7">
        <f t="shared" si="7"/>
        <v>0</v>
      </c>
      <c r="M76" s="7">
        <f t="shared" si="8"/>
        <v>500</v>
      </c>
      <c r="N76" s="7">
        <f>_xlfn.XLOOKUP(E76,Product_Lookup!$A$2:$A$14,Product_Lookup!$E$2:$E$14)</f>
        <v>73</v>
      </c>
      <c r="O76" s="7">
        <f t="shared" si="9"/>
        <v>292</v>
      </c>
      <c r="P76" s="7">
        <f t="shared" si="10"/>
        <v>208</v>
      </c>
      <c r="Q76" s="10">
        <f t="shared" si="11"/>
        <v>0.41599999999999998</v>
      </c>
      <c r="R76" t="s">
        <v>13</v>
      </c>
      <c r="S76" t="s">
        <v>42</v>
      </c>
    </row>
    <row r="77" spans="1:19">
      <c r="A77" t="s">
        <v>116</v>
      </c>
      <c r="B77" s="3">
        <v>46071</v>
      </c>
      <c r="C77" t="s">
        <v>38</v>
      </c>
      <c r="D77" t="s">
        <v>20</v>
      </c>
      <c r="E77" t="s">
        <v>41</v>
      </c>
      <c r="F77" t="str">
        <f>_xlfn.XLOOKUP(E77,Product_Lookup!$A$2:$A$14,Product_Lookup!$B$2:$B$14)</f>
        <v>Floor Lamp</v>
      </c>
      <c r="G77" t="str">
        <f>_xlfn.XLOOKUP(Sales_Data!E77,Product_Lookup!$A$2:$A$14,Product_Lookup!$C$2:$C$14)</f>
        <v>Lighting</v>
      </c>
      <c r="H77">
        <f>_xlfn.XLOOKUP(E77,Product_Lookup!$A$2:$A$14,Product_Lookup!$D$2:$D$14)</f>
        <v>125</v>
      </c>
      <c r="I77">
        <v>7</v>
      </c>
      <c r="J77">
        <f t="shared" si="6"/>
        <v>875</v>
      </c>
      <c r="K77" s="4">
        <v>0.15</v>
      </c>
      <c r="L77" s="7">
        <f t="shared" si="7"/>
        <v>131.25</v>
      </c>
      <c r="M77" s="7">
        <f t="shared" si="8"/>
        <v>743.75</v>
      </c>
      <c r="N77" s="7">
        <f>_xlfn.XLOOKUP(E77,Product_Lookup!$A$2:$A$14,Product_Lookup!$E$2:$E$14)</f>
        <v>73</v>
      </c>
      <c r="O77" s="7">
        <f t="shared" si="9"/>
        <v>511</v>
      </c>
      <c r="P77" s="7">
        <f t="shared" si="10"/>
        <v>232.75</v>
      </c>
      <c r="Q77" s="10">
        <f t="shared" si="11"/>
        <v>0.31294117647058822</v>
      </c>
      <c r="R77" t="s">
        <v>13</v>
      </c>
      <c r="S77" t="s">
        <v>48</v>
      </c>
    </row>
    <row r="78" spans="1:19">
      <c r="A78" t="s">
        <v>117</v>
      </c>
      <c r="B78" s="3">
        <v>46063</v>
      </c>
      <c r="C78" t="s">
        <v>29</v>
      </c>
      <c r="D78" t="s">
        <v>16</v>
      </c>
      <c r="E78" t="s">
        <v>30</v>
      </c>
      <c r="F78" t="str">
        <f>_xlfn.XLOOKUP(E78,Product_Lookup!$A$2:$A$14,Product_Lookup!$B$2:$B$14)</f>
        <v>Dining Chair</v>
      </c>
      <c r="G78" t="str">
        <f>_xlfn.XLOOKUP(Sales_Data!E78,Product_Lookup!$A$2:$A$14,Product_Lookup!$C$2:$C$14)</f>
        <v>Furniture</v>
      </c>
      <c r="H78">
        <f>_xlfn.XLOOKUP(E78,Product_Lookup!$A$2:$A$14,Product_Lookup!$D$2:$D$14)</f>
        <v>95</v>
      </c>
      <c r="I78">
        <v>5</v>
      </c>
      <c r="J78">
        <f t="shared" si="6"/>
        <v>475</v>
      </c>
      <c r="K78" s="4">
        <v>0</v>
      </c>
      <c r="L78" s="7">
        <f t="shared" si="7"/>
        <v>0</v>
      </c>
      <c r="M78" s="7">
        <f t="shared" si="8"/>
        <v>475</v>
      </c>
      <c r="N78" s="7">
        <f>_xlfn.XLOOKUP(E78,Product_Lookup!$A$2:$A$14,Product_Lookup!$E$2:$E$14)</f>
        <v>54</v>
      </c>
      <c r="O78" s="7">
        <f t="shared" si="9"/>
        <v>270</v>
      </c>
      <c r="P78" s="7">
        <f t="shared" si="10"/>
        <v>205</v>
      </c>
      <c r="Q78" s="10">
        <f t="shared" si="11"/>
        <v>0.43157894736842106</v>
      </c>
      <c r="R78" t="s">
        <v>21</v>
      </c>
      <c r="S78" t="s">
        <v>39</v>
      </c>
    </row>
    <row r="79" spans="1:19">
      <c r="A79" t="s">
        <v>118</v>
      </c>
      <c r="B79" s="3">
        <v>46053</v>
      </c>
      <c r="C79" t="s">
        <v>10</v>
      </c>
      <c r="D79" t="s">
        <v>20</v>
      </c>
      <c r="E79" t="s">
        <v>30</v>
      </c>
      <c r="F79" t="str">
        <f>_xlfn.XLOOKUP(E79,Product_Lookup!$A$2:$A$14,Product_Lookup!$B$2:$B$14)</f>
        <v>Dining Chair</v>
      </c>
      <c r="G79" t="str">
        <f>_xlfn.XLOOKUP(Sales_Data!E79,Product_Lookup!$A$2:$A$14,Product_Lookup!$C$2:$C$14)</f>
        <v>Furniture</v>
      </c>
      <c r="H79">
        <f>_xlfn.XLOOKUP(E79,Product_Lookup!$A$2:$A$14,Product_Lookup!$D$2:$D$14)</f>
        <v>95</v>
      </c>
      <c r="I79">
        <v>1</v>
      </c>
      <c r="J79">
        <f t="shared" si="6"/>
        <v>95</v>
      </c>
      <c r="K79" s="4">
        <v>0.05</v>
      </c>
      <c r="L79" s="7">
        <f t="shared" si="7"/>
        <v>4.75</v>
      </c>
      <c r="M79" s="7">
        <f t="shared" si="8"/>
        <v>90.25</v>
      </c>
      <c r="N79" s="7">
        <f>_xlfn.XLOOKUP(E79,Product_Lookup!$A$2:$A$14,Product_Lookup!$E$2:$E$14)</f>
        <v>54</v>
      </c>
      <c r="O79" s="7">
        <f t="shared" si="9"/>
        <v>54</v>
      </c>
      <c r="P79" s="7">
        <f t="shared" si="10"/>
        <v>36.25</v>
      </c>
      <c r="Q79" s="10">
        <f t="shared" si="11"/>
        <v>0.40166204986149584</v>
      </c>
      <c r="R79" t="s">
        <v>13</v>
      </c>
      <c r="S79" t="s">
        <v>18</v>
      </c>
    </row>
    <row r="80" spans="1:19">
      <c r="A80" t="s">
        <v>119</v>
      </c>
      <c r="B80" s="3">
        <v>46070</v>
      </c>
      <c r="C80" t="s">
        <v>10</v>
      </c>
      <c r="D80" t="s">
        <v>20</v>
      </c>
      <c r="E80" t="s">
        <v>54</v>
      </c>
      <c r="F80" t="str">
        <f>_xlfn.XLOOKUP(E80,Product_Lookup!$A$2:$A$14,Product_Lookup!$B$2:$B$14)</f>
        <v>Wall Mirror</v>
      </c>
      <c r="G80" t="str">
        <f>_xlfn.XLOOKUP(Sales_Data!E80,Product_Lookup!$A$2:$A$14,Product_Lookup!$C$2:$C$14)</f>
        <v>Home Accessories</v>
      </c>
      <c r="H80">
        <f>_xlfn.XLOOKUP(E80,Product_Lookup!$A$2:$A$14,Product_Lookup!$D$2:$D$14)</f>
        <v>85</v>
      </c>
      <c r="I80">
        <v>3</v>
      </c>
      <c r="J80">
        <f t="shared" si="6"/>
        <v>255</v>
      </c>
      <c r="K80" s="4">
        <v>0</v>
      </c>
      <c r="L80" s="7">
        <f t="shared" si="7"/>
        <v>0</v>
      </c>
      <c r="M80" s="7">
        <f t="shared" si="8"/>
        <v>255</v>
      </c>
      <c r="N80" s="7">
        <f>_xlfn.XLOOKUP(E80,Product_Lookup!$A$2:$A$14,Product_Lookup!$E$2:$E$14)</f>
        <v>41</v>
      </c>
      <c r="O80" s="7">
        <f t="shared" si="9"/>
        <v>123</v>
      </c>
      <c r="P80" s="7">
        <f t="shared" si="10"/>
        <v>132</v>
      </c>
      <c r="Q80" s="10">
        <f t="shared" si="11"/>
        <v>0.51764705882352946</v>
      </c>
      <c r="R80" t="s">
        <v>36</v>
      </c>
      <c r="S80" t="s">
        <v>48</v>
      </c>
    </row>
    <row r="81" spans="1:19">
      <c r="A81" t="s">
        <v>120</v>
      </c>
      <c r="B81" s="3">
        <v>46098</v>
      </c>
      <c r="C81" t="s">
        <v>10</v>
      </c>
      <c r="D81" t="s">
        <v>11</v>
      </c>
      <c r="E81" t="s">
        <v>32</v>
      </c>
      <c r="F81" t="str">
        <f>_xlfn.XLOOKUP(E81,Product_Lookup!$A$2:$A$14,Product_Lookup!$B$2:$B$14)</f>
        <v>Sofa</v>
      </c>
      <c r="G81" t="str">
        <f>_xlfn.XLOOKUP(Sales_Data!E81,Product_Lookup!$A$2:$A$14,Product_Lookup!$C$2:$C$14)</f>
        <v>Furniture</v>
      </c>
      <c r="H81">
        <f>_xlfn.XLOOKUP(E81,Product_Lookup!$A$2:$A$14,Product_Lookup!$D$2:$D$14)</f>
        <v>420</v>
      </c>
      <c r="I81">
        <v>5</v>
      </c>
      <c r="J81">
        <f t="shared" si="6"/>
        <v>2100</v>
      </c>
      <c r="K81" s="4">
        <v>0</v>
      </c>
      <c r="L81" s="7">
        <f t="shared" si="7"/>
        <v>0</v>
      </c>
      <c r="M81" s="7">
        <f t="shared" si="8"/>
        <v>2100</v>
      </c>
      <c r="N81" s="7">
        <f>_xlfn.XLOOKUP(E81,Product_Lookup!$A$2:$A$14,Product_Lookup!$E$2:$E$14)</f>
        <v>280</v>
      </c>
      <c r="O81" s="7">
        <f t="shared" si="9"/>
        <v>1400</v>
      </c>
      <c r="P81" s="7">
        <f t="shared" si="10"/>
        <v>700</v>
      </c>
      <c r="Q81" s="10">
        <f t="shared" si="11"/>
        <v>0.33333333333333331</v>
      </c>
      <c r="R81" t="s">
        <v>13</v>
      </c>
      <c r="S81" t="s">
        <v>18</v>
      </c>
    </row>
    <row r="82" spans="1:19">
      <c r="A82" t="s">
        <v>121</v>
      </c>
      <c r="B82" s="3">
        <v>46153</v>
      </c>
      <c r="C82" t="s">
        <v>38</v>
      </c>
      <c r="D82" t="s">
        <v>11</v>
      </c>
      <c r="E82" t="s">
        <v>98</v>
      </c>
      <c r="F82" t="str">
        <f>_xlfn.XLOOKUP(E82,Product_Lookup!$A$2:$A$14,Product_Lookup!$B$2:$B$14)</f>
        <v>Blender</v>
      </c>
      <c r="G82" t="str">
        <f>_xlfn.XLOOKUP(Sales_Data!E82,Product_Lookup!$A$2:$A$14,Product_Lookup!$C$2:$C$14)</f>
        <v>Kitchenware</v>
      </c>
      <c r="H82">
        <f>_xlfn.XLOOKUP(E82,Product_Lookup!$A$2:$A$14,Product_Lookup!$D$2:$D$14)</f>
        <v>75</v>
      </c>
      <c r="I82">
        <v>6</v>
      </c>
      <c r="J82">
        <f t="shared" si="6"/>
        <v>450</v>
      </c>
      <c r="K82" s="4">
        <v>0</v>
      </c>
      <c r="L82" s="7">
        <f t="shared" si="7"/>
        <v>0</v>
      </c>
      <c r="M82" s="7">
        <f t="shared" si="8"/>
        <v>450</v>
      </c>
      <c r="N82" s="7">
        <f>_xlfn.XLOOKUP(E82,Product_Lookup!$A$2:$A$14,Product_Lookup!$E$2:$E$14)</f>
        <v>43</v>
      </c>
      <c r="O82" s="7">
        <f t="shared" si="9"/>
        <v>258</v>
      </c>
      <c r="P82" s="7">
        <f t="shared" si="10"/>
        <v>192</v>
      </c>
      <c r="Q82" s="10">
        <f t="shared" si="11"/>
        <v>0.42666666666666669</v>
      </c>
      <c r="R82" t="s">
        <v>36</v>
      </c>
      <c r="S82" t="s">
        <v>14</v>
      </c>
    </row>
    <row r="83" spans="1:19">
      <c r="A83" t="s">
        <v>122</v>
      </c>
      <c r="B83" s="3">
        <v>46090</v>
      </c>
      <c r="C83" t="s">
        <v>29</v>
      </c>
      <c r="D83" t="s">
        <v>20</v>
      </c>
      <c r="E83" t="s">
        <v>17</v>
      </c>
      <c r="F83" t="str">
        <f>_xlfn.XLOOKUP(E83,Product_Lookup!$A$2:$A$14,Product_Lookup!$B$2:$B$14)</f>
        <v>Storage Box</v>
      </c>
      <c r="G83" t="str">
        <f>_xlfn.XLOOKUP(Sales_Data!E83,Product_Lookup!$A$2:$A$14,Product_Lookup!$C$2:$C$14)</f>
        <v>Storage</v>
      </c>
      <c r="H83">
        <f>_xlfn.XLOOKUP(E83,Product_Lookup!$A$2:$A$14,Product_Lookup!$D$2:$D$14)</f>
        <v>26</v>
      </c>
      <c r="I83">
        <v>5</v>
      </c>
      <c r="J83">
        <f t="shared" si="6"/>
        <v>130</v>
      </c>
      <c r="K83" s="4">
        <v>0.1</v>
      </c>
      <c r="L83" s="7">
        <f t="shared" si="7"/>
        <v>13</v>
      </c>
      <c r="M83" s="7">
        <f t="shared" si="8"/>
        <v>117</v>
      </c>
      <c r="N83" s="7">
        <f>_xlfn.XLOOKUP(E83,Product_Lookup!$A$2:$A$14,Product_Lookup!$E$2:$E$14)</f>
        <v>11</v>
      </c>
      <c r="O83" s="7">
        <f t="shared" si="9"/>
        <v>55</v>
      </c>
      <c r="P83" s="7">
        <f t="shared" si="10"/>
        <v>62</v>
      </c>
      <c r="Q83" s="10">
        <f t="shared" si="11"/>
        <v>0.52991452991452992</v>
      </c>
      <c r="R83" t="s">
        <v>13</v>
      </c>
      <c r="S83" t="s">
        <v>18</v>
      </c>
    </row>
    <row r="84" spans="1:19">
      <c r="A84" t="s">
        <v>123</v>
      </c>
      <c r="B84" s="3">
        <v>46060</v>
      </c>
      <c r="C84" t="s">
        <v>44</v>
      </c>
      <c r="D84" t="s">
        <v>11</v>
      </c>
      <c r="E84" t="s">
        <v>57</v>
      </c>
      <c r="F84" t="str">
        <f>_xlfn.XLOOKUP(E84,Product_Lookup!$A$2:$A$14,Product_Lookup!$B$2:$B$14)</f>
        <v>Shelving Unit</v>
      </c>
      <c r="G84" t="str">
        <f>_xlfn.XLOOKUP(Sales_Data!E84,Product_Lookup!$A$2:$A$14,Product_Lookup!$C$2:$C$14)</f>
        <v>Storage</v>
      </c>
      <c r="H84">
        <f>_xlfn.XLOOKUP(E84,Product_Lookup!$A$2:$A$14,Product_Lookup!$D$2:$D$14)</f>
        <v>115</v>
      </c>
      <c r="I84">
        <v>6</v>
      </c>
      <c r="J84">
        <f t="shared" si="6"/>
        <v>690</v>
      </c>
      <c r="K84" s="4">
        <v>0.1</v>
      </c>
      <c r="L84" s="7">
        <f t="shared" si="7"/>
        <v>69</v>
      </c>
      <c r="M84" s="7">
        <f t="shared" si="8"/>
        <v>621</v>
      </c>
      <c r="N84" s="7">
        <f>_xlfn.XLOOKUP(E84,Product_Lookup!$A$2:$A$14,Product_Lookup!$E$2:$E$14)</f>
        <v>67</v>
      </c>
      <c r="O84" s="7">
        <f t="shared" si="9"/>
        <v>402</v>
      </c>
      <c r="P84" s="7">
        <f t="shared" si="10"/>
        <v>219</v>
      </c>
      <c r="Q84" s="10">
        <f t="shared" si="11"/>
        <v>0.35265700483091789</v>
      </c>
      <c r="R84" t="s">
        <v>13</v>
      </c>
      <c r="S84" t="s">
        <v>18</v>
      </c>
    </row>
    <row r="85" spans="1:19">
      <c r="A85" t="s">
        <v>124</v>
      </c>
      <c r="B85" s="3">
        <v>46065</v>
      </c>
      <c r="C85" t="s">
        <v>38</v>
      </c>
      <c r="D85" t="s">
        <v>16</v>
      </c>
      <c r="E85" t="s">
        <v>54</v>
      </c>
      <c r="F85" t="str">
        <f>_xlfn.XLOOKUP(E85,Product_Lookup!$A$2:$A$14,Product_Lookup!$B$2:$B$14)</f>
        <v>Wall Mirror</v>
      </c>
      <c r="G85" t="str">
        <f>_xlfn.XLOOKUP(Sales_Data!E85,Product_Lookup!$A$2:$A$14,Product_Lookup!$C$2:$C$14)</f>
        <v>Home Accessories</v>
      </c>
      <c r="H85">
        <f>_xlfn.XLOOKUP(E85,Product_Lookup!$A$2:$A$14,Product_Lookup!$D$2:$D$14)</f>
        <v>85</v>
      </c>
      <c r="I85">
        <v>3</v>
      </c>
      <c r="J85">
        <f t="shared" si="6"/>
        <v>255</v>
      </c>
      <c r="K85" s="4">
        <v>0</v>
      </c>
      <c r="L85" s="7">
        <f t="shared" si="7"/>
        <v>0</v>
      </c>
      <c r="M85" s="7">
        <f t="shared" si="8"/>
        <v>255</v>
      </c>
      <c r="N85" s="7">
        <f>_xlfn.XLOOKUP(E85,Product_Lookup!$A$2:$A$14,Product_Lookup!$E$2:$E$14)</f>
        <v>41</v>
      </c>
      <c r="O85" s="7">
        <f t="shared" si="9"/>
        <v>123</v>
      </c>
      <c r="P85" s="7">
        <f t="shared" si="10"/>
        <v>132</v>
      </c>
      <c r="Q85" s="10">
        <f t="shared" si="11"/>
        <v>0.51764705882352946</v>
      </c>
      <c r="R85" t="s">
        <v>13</v>
      </c>
      <c r="S85" t="s">
        <v>48</v>
      </c>
    </row>
    <row r="86" spans="1:19">
      <c r="A86" t="s">
        <v>125</v>
      </c>
      <c r="B86" s="3">
        <v>46196</v>
      </c>
      <c r="C86" t="s">
        <v>38</v>
      </c>
      <c r="D86" t="s">
        <v>20</v>
      </c>
      <c r="E86" t="s">
        <v>54</v>
      </c>
      <c r="F86" t="str">
        <f>_xlfn.XLOOKUP(E86,Product_Lookup!$A$2:$A$14,Product_Lookup!$B$2:$B$14)</f>
        <v>Wall Mirror</v>
      </c>
      <c r="G86" t="str">
        <f>_xlfn.XLOOKUP(Sales_Data!E86,Product_Lookup!$A$2:$A$14,Product_Lookup!$C$2:$C$14)</f>
        <v>Home Accessories</v>
      </c>
      <c r="H86">
        <f>_xlfn.XLOOKUP(E86,Product_Lookup!$A$2:$A$14,Product_Lookup!$D$2:$D$14)</f>
        <v>85</v>
      </c>
      <c r="I86">
        <v>6</v>
      </c>
      <c r="J86">
        <f t="shared" si="6"/>
        <v>510</v>
      </c>
      <c r="K86" s="4">
        <v>0.15</v>
      </c>
      <c r="L86" s="7">
        <f t="shared" si="7"/>
        <v>76.5</v>
      </c>
      <c r="M86" s="7">
        <f t="shared" si="8"/>
        <v>433.5</v>
      </c>
      <c r="N86" s="7">
        <f>_xlfn.XLOOKUP(E86,Product_Lookup!$A$2:$A$14,Product_Lookup!$E$2:$E$14)</f>
        <v>41</v>
      </c>
      <c r="O86" s="7">
        <f t="shared" si="9"/>
        <v>246</v>
      </c>
      <c r="P86" s="7">
        <f t="shared" si="10"/>
        <v>187.5</v>
      </c>
      <c r="Q86" s="10">
        <f t="shared" si="11"/>
        <v>0.43252595155709345</v>
      </c>
      <c r="R86" t="s">
        <v>13</v>
      </c>
      <c r="S86" t="s">
        <v>14</v>
      </c>
    </row>
    <row r="87" spans="1:19">
      <c r="A87" t="s">
        <v>126</v>
      </c>
      <c r="B87" s="3">
        <v>46079</v>
      </c>
      <c r="C87" t="s">
        <v>24</v>
      </c>
      <c r="D87" t="s">
        <v>11</v>
      </c>
      <c r="E87" t="s">
        <v>32</v>
      </c>
      <c r="F87" t="str">
        <f>_xlfn.XLOOKUP(E87,Product_Lookup!$A$2:$A$14,Product_Lookup!$B$2:$B$14)</f>
        <v>Sofa</v>
      </c>
      <c r="G87" t="str">
        <f>_xlfn.XLOOKUP(Sales_Data!E87,Product_Lookup!$A$2:$A$14,Product_Lookup!$C$2:$C$14)</f>
        <v>Furniture</v>
      </c>
      <c r="H87">
        <f>_xlfn.XLOOKUP(E87,Product_Lookup!$A$2:$A$14,Product_Lookup!$D$2:$D$14)</f>
        <v>420</v>
      </c>
      <c r="I87">
        <v>3</v>
      </c>
      <c r="J87">
        <f t="shared" si="6"/>
        <v>1260</v>
      </c>
      <c r="K87" s="4">
        <v>0.05</v>
      </c>
      <c r="L87" s="7">
        <f t="shared" si="7"/>
        <v>63</v>
      </c>
      <c r="M87" s="7">
        <f t="shared" si="8"/>
        <v>1197</v>
      </c>
      <c r="N87" s="7">
        <f>_xlfn.XLOOKUP(E87,Product_Lookup!$A$2:$A$14,Product_Lookup!$E$2:$E$14)</f>
        <v>280</v>
      </c>
      <c r="O87" s="7">
        <f t="shared" si="9"/>
        <v>840</v>
      </c>
      <c r="P87" s="7">
        <f t="shared" si="10"/>
        <v>357</v>
      </c>
      <c r="Q87" s="10">
        <f t="shared" si="11"/>
        <v>0.2982456140350877</v>
      </c>
      <c r="R87" t="s">
        <v>13</v>
      </c>
      <c r="S87" t="s">
        <v>14</v>
      </c>
    </row>
    <row r="88" spans="1:19">
      <c r="A88" t="s">
        <v>127</v>
      </c>
      <c r="B88" s="3">
        <v>46186</v>
      </c>
      <c r="C88" t="s">
        <v>10</v>
      </c>
      <c r="D88" t="s">
        <v>11</v>
      </c>
      <c r="E88" t="s">
        <v>76</v>
      </c>
      <c r="F88" t="str">
        <f>_xlfn.XLOOKUP(E88,Product_Lookup!$A$2:$A$14,Product_Lookup!$B$2:$B$14)</f>
        <v>Cookware Set</v>
      </c>
      <c r="G88" t="str">
        <f>_xlfn.XLOOKUP(Sales_Data!E88,Product_Lookup!$A$2:$A$14,Product_Lookup!$C$2:$C$14)</f>
        <v>Kitchenware</v>
      </c>
      <c r="H88">
        <f>_xlfn.XLOOKUP(E88,Product_Lookup!$A$2:$A$14,Product_Lookup!$D$2:$D$14)</f>
        <v>110</v>
      </c>
      <c r="I88">
        <v>7</v>
      </c>
      <c r="J88">
        <f t="shared" si="6"/>
        <v>770</v>
      </c>
      <c r="K88" s="4">
        <v>0.2</v>
      </c>
      <c r="L88" s="7">
        <f t="shared" si="7"/>
        <v>154</v>
      </c>
      <c r="M88" s="7">
        <f t="shared" si="8"/>
        <v>616</v>
      </c>
      <c r="N88" s="7">
        <f>_xlfn.XLOOKUP(E88,Product_Lookup!$A$2:$A$14,Product_Lookup!$E$2:$E$14)</f>
        <v>65</v>
      </c>
      <c r="O88" s="7">
        <f t="shared" si="9"/>
        <v>455</v>
      </c>
      <c r="P88" s="7">
        <f t="shared" si="10"/>
        <v>161</v>
      </c>
      <c r="Q88" s="10">
        <f t="shared" si="11"/>
        <v>0.26136363636363635</v>
      </c>
      <c r="R88" t="s">
        <v>13</v>
      </c>
      <c r="S88" t="s">
        <v>33</v>
      </c>
    </row>
    <row r="89" spans="1:19">
      <c r="A89" t="s">
        <v>128</v>
      </c>
      <c r="B89" s="3">
        <v>46036</v>
      </c>
      <c r="C89" t="s">
        <v>29</v>
      </c>
      <c r="D89" t="s">
        <v>11</v>
      </c>
      <c r="E89" t="s">
        <v>67</v>
      </c>
      <c r="F89" t="str">
        <f>_xlfn.XLOOKUP(E89,Product_Lookup!$A$2:$A$14,Product_Lookup!$B$2:$B$14)</f>
        <v>Rug</v>
      </c>
      <c r="G89" t="str">
        <f>_xlfn.XLOOKUP(Sales_Data!E89,Product_Lookup!$A$2:$A$14,Product_Lookup!$C$2:$C$14)</f>
        <v>Home Accessories</v>
      </c>
      <c r="H89">
        <f>_xlfn.XLOOKUP(E89,Product_Lookup!$A$2:$A$14,Product_Lookup!$D$2:$D$14)</f>
        <v>145</v>
      </c>
      <c r="I89">
        <v>7</v>
      </c>
      <c r="J89">
        <f t="shared" si="6"/>
        <v>1015</v>
      </c>
      <c r="K89" s="4">
        <v>0</v>
      </c>
      <c r="L89" s="7">
        <f t="shared" si="7"/>
        <v>0</v>
      </c>
      <c r="M89" s="7">
        <f t="shared" si="8"/>
        <v>1015</v>
      </c>
      <c r="N89" s="7">
        <f>_xlfn.XLOOKUP(E89,Product_Lookup!$A$2:$A$14,Product_Lookup!$E$2:$E$14)</f>
        <v>88</v>
      </c>
      <c r="O89" s="7">
        <f t="shared" si="9"/>
        <v>616</v>
      </c>
      <c r="P89" s="7">
        <f t="shared" si="10"/>
        <v>399</v>
      </c>
      <c r="Q89" s="10">
        <f t="shared" si="11"/>
        <v>0.39310344827586208</v>
      </c>
      <c r="R89" t="s">
        <v>13</v>
      </c>
      <c r="S89" t="s">
        <v>14</v>
      </c>
    </row>
    <row r="90" spans="1:19">
      <c r="A90" t="s">
        <v>129</v>
      </c>
      <c r="B90" s="3">
        <v>46179</v>
      </c>
      <c r="C90" t="s">
        <v>24</v>
      </c>
      <c r="D90" t="s">
        <v>16</v>
      </c>
      <c r="E90" t="s">
        <v>57</v>
      </c>
      <c r="F90" t="str">
        <f>_xlfn.XLOOKUP(E90,Product_Lookup!$A$2:$A$14,Product_Lookup!$B$2:$B$14)</f>
        <v>Shelving Unit</v>
      </c>
      <c r="G90" t="str">
        <f>_xlfn.XLOOKUP(Sales_Data!E90,Product_Lookup!$A$2:$A$14,Product_Lookup!$C$2:$C$14)</f>
        <v>Storage</v>
      </c>
      <c r="H90">
        <f>_xlfn.XLOOKUP(E90,Product_Lookup!$A$2:$A$14,Product_Lookup!$D$2:$D$14)</f>
        <v>115</v>
      </c>
      <c r="I90">
        <v>5</v>
      </c>
      <c r="J90">
        <f t="shared" si="6"/>
        <v>575</v>
      </c>
      <c r="K90" s="4">
        <v>0</v>
      </c>
      <c r="L90" s="7">
        <f t="shared" si="7"/>
        <v>0</v>
      </c>
      <c r="M90" s="7">
        <f t="shared" si="8"/>
        <v>575</v>
      </c>
      <c r="N90" s="7">
        <f>_xlfn.XLOOKUP(E90,Product_Lookup!$A$2:$A$14,Product_Lookup!$E$2:$E$14)</f>
        <v>67</v>
      </c>
      <c r="O90" s="7">
        <f t="shared" si="9"/>
        <v>335</v>
      </c>
      <c r="P90" s="7">
        <f t="shared" si="10"/>
        <v>240</v>
      </c>
      <c r="Q90" s="10">
        <f t="shared" si="11"/>
        <v>0.41739130434782606</v>
      </c>
      <c r="R90" t="s">
        <v>13</v>
      </c>
      <c r="S90" t="s">
        <v>22</v>
      </c>
    </row>
    <row r="91" spans="1:19">
      <c r="A91" t="s">
        <v>130</v>
      </c>
      <c r="B91" s="3">
        <v>46027</v>
      </c>
      <c r="C91" t="s">
        <v>44</v>
      </c>
      <c r="D91" t="s">
        <v>11</v>
      </c>
      <c r="E91" t="s">
        <v>76</v>
      </c>
      <c r="F91" t="str">
        <f>_xlfn.XLOOKUP(E91,Product_Lookup!$A$2:$A$14,Product_Lookup!$B$2:$B$14)</f>
        <v>Cookware Set</v>
      </c>
      <c r="G91" t="str">
        <f>_xlfn.XLOOKUP(Sales_Data!E91,Product_Lookup!$A$2:$A$14,Product_Lookup!$C$2:$C$14)</f>
        <v>Kitchenware</v>
      </c>
      <c r="H91">
        <f>_xlfn.XLOOKUP(E91,Product_Lookup!$A$2:$A$14,Product_Lookup!$D$2:$D$14)</f>
        <v>110</v>
      </c>
      <c r="I91">
        <v>3</v>
      </c>
      <c r="J91">
        <f t="shared" si="6"/>
        <v>330</v>
      </c>
      <c r="K91" s="4">
        <v>0.05</v>
      </c>
      <c r="L91" s="7">
        <f t="shared" si="7"/>
        <v>16.5</v>
      </c>
      <c r="M91" s="7">
        <f t="shared" si="8"/>
        <v>313.5</v>
      </c>
      <c r="N91" s="7">
        <f>_xlfn.XLOOKUP(E91,Product_Lookup!$A$2:$A$14,Product_Lookup!$E$2:$E$14)</f>
        <v>65</v>
      </c>
      <c r="O91" s="7">
        <f t="shared" si="9"/>
        <v>195</v>
      </c>
      <c r="P91" s="7">
        <f t="shared" si="10"/>
        <v>118.5</v>
      </c>
      <c r="Q91" s="10">
        <f t="shared" si="11"/>
        <v>0.37799043062200954</v>
      </c>
      <c r="R91" t="s">
        <v>13</v>
      </c>
      <c r="S91" t="s">
        <v>48</v>
      </c>
    </row>
    <row r="92" spans="1:19">
      <c r="A92" t="s">
        <v>131</v>
      </c>
      <c r="B92" s="3">
        <v>46177</v>
      </c>
      <c r="C92" t="s">
        <v>24</v>
      </c>
      <c r="D92" t="s">
        <v>20</v>
      </c>
      <c r="E92" t="s">
        <v>27</v>
      </c>
      <c r="F92" t="str">
        <f>_xlfn.XLOOKUP(E92,Product_Lookup!$A$2:$A$14,Product_Lookup!$B$2:$B$14)</f>
        <v>Kettle</v>
      </c>
      <c r="G92" t="str">
        <f>_xlfn.XLOOKUP(Sales_Data!E92,Product_Lookup!$A$2:$A$14,Product_Lookup!$C$2:$C$14)</f>
        <v>Kitchenware</v>
      </c>
      <c r="H92">
        <f>_xlfn.XLOOKUP(E92,Product_Lookup!$A$2:$A$14,Product_Lookup!$D$2:$D$14)</f>
        <v>38</v>
      </c>
      <c r="I92">
        <v>6</v>
      </c>
      <c r="J92">
        <f t="shared" si="6"/>
        <v>228</v>
      </c>
      <c r="K92" s="4">
        <v>0.1</v>
      </c>
      <c r="L92" s="7">
        <f t="shared" si="7"/>
        <v>22.8</v>
      </c>
      <c r="M92" s="7">
        <f t="shared" si="8"/>
        <v>205.2</v>
      </c>
      <c r="N92" s="7">
        <f>_xlfn.XLOOKUP(E92,Product_Lookup!$A$2:$A$14,Product_Lookup!$E$2:$E$14)</f>
        <v>21</v>
      </c>
      <c r="O92" s="7">
        <f t="shared" si="9"/>
        <v>126</v>
      </c>
      <c r="P92" s="7">
        <f t="shared" si="10"/>
        <v>79.199999999999989</v>
      </c>
      <c r="Q92" s="10">
        <f t="shared" si="11"/>
        <v>0.38596491228070173</v>
      </c>
      <c r="R92" t="s">
        <v>13</v>
      </c>
      <c r="S92" t="s">
        <v>48</v>
      </c>
    </row>
    <row r="93" spans="1:19">
      <c r="A93" t="s">
        <v>132</v>
      </c>
      <c r="B93" s="3">
        <v>46072</v>
      </c>
      <c r="C93" t="s">
        <v>24</v>
      </c>
      <c r="D93" t="s">
        <v>11</v>
      </c>
      <c r="E93" t="s">
        <v>57</v>
      </c>
      <c r="F93" t="str">
        <f>_xlfn.XLOOKUP(E93,Product_Lookup!$A$2:$A$14,Product_Lookup!$B$2:$B$14)</f>
        <v>Shelving Unit</v>
      </c>
      <c r="G93" t="str">
        <f>_xlfn.XLOOKUP(Sales_Data!E93,Product_Lookup!$A$2:$A$14,Product_Lookup!$C$2:$C$14)</f>
        <v>Storage</v>
      </c>
      <c r="H93">
        <f>_xlfn.XLOOKUP(E93,Product_Lookup!$A$2:$A$14,Product_Lookup!$D$2:$D$14)</f>
        <v>115</v>
      </c>
      <c r="I93">
        <v>7</v>
      </c>
      <c r="J93">
        <f t="shared" si="6"/>
        <v>805</v>
      </c>
      <c r="K93" s="4">
        <v>0.15</v>
      </c>
      <c r="L93" s="7">
        <f t="shared" si="7"/>
        <v>120.75</v>
      </c>
      <c r="M93" s="7">
        <f t="shared" si="8"/>
        <v>684.25</v>
      </c>
      <c r="N93" s="7">
        <f>_xlfn.XLOOKUP(E93,Product_Lookup!$A$2:$A$14,Product_Lookup!$E$2:$E$14)</f>
        <v>67</v>
      </c>
      <c r="O93" s="7">
        <f t="shared" si="9"/>
        <v>469</v>
      </c>
      <c r="P93" s="7">
        <f t="shared" si="10"/>
        <v>215.25</v>
      </c>
      <c r="Q93" s="10">
        <f t="shared" si="11"/>
        <v>0.31457800511508949</v>
      </c>
      <c r="R93" t="s">
        <v>13</v>
      </c>
      <c r="S93" t="s">
        <v>48</v>
      </c>
    </row>
    <row r="94" spans="1:19">
      <c r="A94" t="s">
        <v>133</v>
      </c>
      <c r="B94" s="3">
        <v>46123</v>
      </c>
      <c r="C94" t="s">
        <v>24</v>
      </c>
      <c r="D94" t="s">
        <v>16</v>
      </c>
      <c r="E94" t="s">
        <v>41</v>
      </c>
      <c r="F94" t="str">
        <f>_xlfn.XLOOKUP(E94,Product_Lookup!$A$2:$A$14,Product_Lookup!$B$2:$B$14)</f>
        <v>Floor Lamp</v>
      </c>
      <c r="G94" t="str">
        <f>_xlfn.XLOOKUP(Sales_Data!E94,Product_Lookup!$A$2:$A$14,Product_Lookup!$C$2:$C$14)</f>
        <v>Lighting</v>
      </c>
      <c r="H94">
        <f>_xlfn.XLOOKUP(E94,Product_Lookup!$A$2:$A$14,Product_Lookup!$D$2:$D$14)</f>
        <v>125</v>
      </c>
      <c r="I94">
        <v>3</v>
      </c>
      <c r="J94">
        <f t="shared" si="6"/>
        <v>375</v>
      </c>
      <c r="K94" s="4">
        <v>0.15</v>
      </c>
      <c r="L94" s="7">
        <f t="shared" si="7"/>
        <v>56.25</v>
      </c>
      <c r="M94" s="7">
        <f t="shared" si="8"/>
        <v>318.75</v>
      </c>
      <c r="N94" s="7">
        <f>_xlfn.XLOOKUP(E94,Product_Lookup!$A$2:$A$14,Product_Lookup!$E$2:$E$14)</f>
        <v>73</v>
      </c>
      <c r="O94" s="7">
        <f t="shared" si="9"/>
        <v>219</v>
      </c>
      <c r="P94" s="7">
        <f t="shared" si="10"/>
        <v>99.75</v>
      </c>
      <c r="Q94" s="10">
        <f t="shared" si="11"/>
        <v>0.31294117647058822</v>
      </c>
      <c r="R94" t="s">
        <v>13</v>
      </c>
      <c r="S94" t="s">
        <v>14</v>
      </c>
    </row>
    <row r="95" spans="1:19">
      <c r="A95" t="s">
        <v>134</v>
      </c>
      <c r="B95" s="3">
        <v>46066</v>
      </c>
      <c r="C95" t="s">
        <v>44</v>
      </c>
      <c r="D95" t="s">
        <v>16</v>
      </c>
      <c r="E95" t="s">
        <v>67</v>
      </c>
      <c r="F95" t="str">
        <f>_xlfn.XLOOKUP(E95,Product_Lookup!$A$2:$A$14,Product_Lookup!$B$2:$B$14)</f>
        <v>Rug</v>
      </c>
      <c r="G95" t="str">
        <f>_xlfn.XLOOKUP(Sales_Data!E95,Product_Lookup!$A$2:$A$14,Product_Lookup!$C$2:$C$14)</f>
        <v>Home Accessories</v>
      </c>
      <c r="H95">
        <f>_xlfn.XLOOKUP(E95,Product_Lookup!$A$2:$A$14,Product_Lookup!$D$2:$D$14)</f>
        <v>145</v>
      </c>
      <c r="I95">
        <v>3</v>
      </c>
      <c r="J95">
        <f t="shared" si="6"/>
        <v>435</v>
      </c>
      <c r="K95" s="4">
        <v>0.15</v>
      </c>
      <c r="L95" s="7">
        <f t="shared" si="7"/>
        <v>65.25</v>
      </c>
      <c r="M95" s="7">
        <f t="shared" si="8"/>
        <v>369.75</v>
      </c>
      <c r="N95" s="7">
        <f>_xlfn.XLOOKUP(E95,Product_Lookup!$A$2:$A$14,Product_Lookup!$E$2:$E$14)</f>
        <v>88</v>
      </c>
      <c r="O95" s="7">
        <f t="shared" si="9"/>
        <v>264</v>
      </c>
      <c r="P95" s="7">
        <f t="shared" si="10"/>
        <v>105.75</v>
      </c>
      <c r="Q95" s="10">
        <f t="shared" si="11"/>
        <v>0.28600405679513186</v>
      </c>
      <c r="R95" t="s">
        <v>36</v>
      </c>
      <c r="S95" t="s">
        <v>33</v>
      </c>
    </row>
    <row r="96" spans="1:19">
      <c r="A96" t="s">
        <v>135</v>
      </c>
      <c r="B96" s="3">
        <v>46148</v>
      </c>
      <c r="C96" t="s">
        <v>38</v>
      </c>
      <c r="D96" t="s">
        <v>11</v>
      </c>
      <c r="E96" t="s">
        <v>17</v>
      </c>
      <c r="F96" t="str">
        <f>_xlfn.XLOOKUP(E96,Product_Lookup!$A$2:$A$14,Product_Lookup!$B$2:$B$14)</f>
        <v>Storage Box</v>
      </c>
      <c r="G96" t="str">
        <f>_xlfn.XLOOKUP(Sales_Data!E96,Product_Lookup!$A$2:$A$14,Product_Lookup!$C$2:$C$14)</f>
        <v>Storage</v>
      </c>
      <c r="H96">
        <f>_xlfn.XLOOKUP(E96,Product_Lookup!$A$2:$A$14,Product_Lookup!$D$2:$D$14)</f>
        <v>26</v>
      </c>
      <c r="I96">
        <v>1</v>
      </c>
      <c r="J96">
        <f t="shared" si="6"/>
        <v>26</v>
      </c>
      <c r="K96" s="4">
        <v>0</v>
      </c>
      <c r="L96" s="7">
        <f t="shared" si="7"/>
        <v>0</v>
      </c>
      <c r="M96" s="7">
        <f t="shared" si="8"/>
        <v>26</v>
      </c>
      <c r="N96" s="7">
        <f>_xlfn.XLOOKUP(E96,Product_Lookup!$A$2:$A$14,Product_Lookup!$E$2:$E$14)</f>
        <v>11</v>
      </c>
      <c r="O96" s="7">
        <f t="shared" si="9"/>
        <v>11</v>
      </c>
      <c r="P96" s="7">
        <f t="shared" si="10"/>
        <v>15</v>
      </c>
      <c r="Q96" s="10">
        <f t="shared" si="11"/>
        <v>0.57692307692307687</v>
      </c>
      <c r="R96" t="s">
        <v>36</v>
      </c>
      <c r="S96" t="s">
        <v>18</v>
      </c>
    </row>
    <row r="97" spans="1:19">
      <c r="A97" t="s">
        <v>136</v>
      </c>
      <c r="B97" s="3">
        <v>46117</v>
      </c>
      <c r="C97" t="s">
        <v>38</v>
      </c>
      <c r="D97" t="s">
        <v>11</v>
      </c>
      <c r="E97" t="s">
        <v>17</v>
      </c>
      <c r="F97" t="str">
        <f>_xlfn.XLOOKUP(E97,Product_Lookup!$A$2:$A$14,Product_Lookup!$B$2:$B$14)</f>
        <v>Storage Box</v>
      </c>
      <c r="G97" t="str">
        <f>_xlfn.XLOOKUP(Sales_Data!E97,Product_Lookup!$A$2:$A$14,Product_Lookup!$C$2:$C$14)</f>
        <v>Storage</v>
      </c>
      <c r="H97">
        <f>_xlfn.XLOOKUP(E97,Product_Lookup!$A$2:$A$14,Product_Lookup!$D$2:$D$14)</f>
        <v>26</v>
      </c>
      <c r="I97">
        <v>1</v>
      </c>
      <c r="J97">
        <f t="shared" si="6"/>
        <v>26</v>
      </c>
      <c r="K97" s="4">
        <v>0.05</v>
      </c>
      <c r="L97" s="7">
        <f t="shared" si="7"/>
        <v>1.3</v>
      </c>
      <c r="M97" s="7">
        <f t="shared" si="8"/>
        <v>24.7</v>
      </c>
      <c r="N97" s="7">
        <f>_xlfn.XLOOKUP(E97,Product_Lookup!$A$2:$A$14,Product_Lookup!$E$2:$E$14)</f>
        <v>11</v>
      </c>
      <c r="O97" s="7">
        <f t="shared" si="9"/>
        <v>11</v>
      </c>
      <c r="P97" s="7">
        <f t="shared" si="10"/>
        <v>13.7</v>
      </c>
      <c r="Q97" s="10">
        <f t="shared" si="11"/>
        <v>0.55465587044534415</v>
      </c>
      <c r="R97" t="s">
        <v>13</v>
      </c>
      <c r="S97" t="s">
        <v>14</v>
      </c>
    </row>
    <row r="98" spans="1:19">
      <c r="A98" t="s">
        <v>137</v>
      </c>
      <c r="B98" s="3">
        <v>46166</v>
      </c>
      <c r="C98" t="s">
        <v>24</v>
      </c>
      <c r="D98" t="s">
        <v>11</v>
      </c>
      <c r="E98" t="s">
        <v>30</v>
      </c>
      <c r="F98" t="str">
        <f>_xlfn.XLOOKUP(E98,Product_Lookup!$A$2:$A$14,Product_Lookup!$B$2:$B$14)</f>
        <v>Dining Chair</v>
      </c>
      <c r="G98" t="str">
        <f>_xlfn.XLOOKUP(Sales_Data!E98,Product_Lookup!$A$2:$A$14,Product_Lookup!$C$2:$C$14)</f>
        <v>Furniture</v>
      </c>
      <c r="H98">
        <f>_xlfn.XLOOKUP(E98,Product_Lookup!$A$2:$A$14,Product_Lookup!$D$2:$D$14)</f>
        <v>95</v>
      </c>
      <c r="I98">
        <v>1</v>
      </c>
      <c r="J98">
        <f t="shared" si="6"/>
        <v>95</v>
      </c>
      <c r="K98" s="4">
        <v>0.05</v>
      </c>
      <c r="L98" s="7">
        <f t="shared" si="7"/>
        <v>4.75</v>
      </c>
      <c r="M98" s="7">
        <f t="shared" si="8"/>
        <v>90.25</v>
      </c>
      <c r="N98" s="7">
        <f>_xlfn.XLOOKUP(E98,Product_Lookup!$A$2:$A$14,Product_Lookup!$E$2:$E$14)</f>
        <v>54</v>
      </c>
      <c r="O98" s="7">
        <f t="shared" si="9"/>
        <v>54</v>
      </c>
      <c r="P98" s="7">
        <f t="shared" si="10"/>
        <v>36.25</v>
      </c>
      <c r="Q98" s="10">
        <f t="shared" si="11"/>
        <v>0.40166204986149584</v>
      </c>
      <c r="R98" t="s">
        <v>13</v>
      </c>
      <c r="S98" t="s">
        <v>39</v>
      </c>
    </row>
    <row r="99" spans="1:19">
      <c r="A99" t="s">
        <v>138</v>
      </c>
      <c r="B99" s="3">
        <v>46189</v>
      </c>
      <c r="C99" t="s">
        <v>38</v>
      </c>
      <c r="D99" t="s">
        <v>20</v>
      </c>
      <c r="E99" t="s">
        <v>30</v>
      </c>
      <c r="F99" t="str">
        <f>_xlfn.XLOOKUP(E99,Product_Lookup!$A$2:$A$14,Product_Lookup!$B$2:$B$14)</f>
        <v>Dining Chair</v>
      </c>
      <c r="G99" t="str">
        <f>_xlfn.XLOOKUP(Sales_Data!E99,Product_Lookup!$A$2:$A$14,Product_Lookup!$C$2:$C$14)</f>
        <v>Furniture</v>
      </c>
      <c r="H99">
        <f>_xlfn.XLOOKUP(E99,Product_Lookup!$A$2:$A$14,Product_Lookup!$D$2:$D$14)</f>
        <v>95</v>
      </c>
      <c r="I99">
        <v>2</v>
      </c>
      <c r="J99">
        <f t="shared" si="6"/>
        <v>190</v>
      </c>
      <c r="K99" s="4">
        <v>0.1</v>
      </c>
      <c r="L99" s="7">
        <f t="shared" si="7"/>
        <v>19</v>
      </c>
      <c r="M99" s="7">
        <f t="shared" si="8"/>
        <v>171</v>
      </c>
      <c r="N99" s="7">
        <f>_xlfn.XLOOKUP(E99,Product_Lookup!$A$2:$A$14,Product_Lookup!$E$2:$E$14)</f>
        <v>54</v>
      </c>
      <c r="O99" s="7">
        <f t="shared" si="9"/>
        <v>108</v>
      </c>
      <c r="P99" s="7">
        <f t="shared" si="10"/>
        <v>63</v>
      </c>
      <c r="Q99" s="10">
        <f t="shared" si="11"/>
        <v>0.36842105263157893</v>
      </c>
      <c r="R99" t="s">
        <v>21</v>
      </c>
      <c r="S99" t="s">
        <v>42</v>
      </c>
    </row>
    <row r="100" spans="1:19">
      <c r="A100" t="s">
        <v>139</v>
      </c>
      <c r="B100" s="3">
        <v>46183</v>
      </c>
      <c r="C100" t="s">
        <v>29</v>
      </c>
      <c r="D100" t="s">
        <v>20</v>
      </c>
      <c r="E100" t="s">
        <v>27</v>
      </c>
      <c r="F100" t="str">
        <f>_xlfn.XLOOKUP(E100,Product_Lookup!$A$2:$A$14,Product_Lookup!$B$2:$B$14)</f>
        <v>Kettle</v>
      </c>
      <c r="G100" t="str">
        <f>_xlfn.XLOOKUP(Sales_Data!E100,Product_Lookup!$A$2:$A$14,Product_Lookup!$C$2:$C$14)</f>
        <v>Kitchenware</v>
      </c>
      <c r="H100">
        <f>_xlfn.XLOOKUP(E100,Product_Lookup!$A$2:$A$14,Product_Lookup!$D$2:$D$14)</f>
        <v>38</v>
      </c>
      <c r="I100">
        <v>1</v>
      </c>
      <c r="J100">
        <f t="shared" si="6"/>
        <v>38</v>
      </c>
      <c r="K100" s="4">
        <v>0.05</v>
      </c>
      <c r="L100" s="7">
        <f t="shared" si="7"/>
        <v>1.9000000000000001</v>
      </c>
      <c r="M100" s="7">
        <f t="shared" si="8"/>
        <v>36.1</v>
      </c>
      <c r="N100" s="7">
        <f>_xlfn.XLOOKUP(E100,Product_Lookup!$A$2:$A$14,Product_Lookup!$E$2:$E$14)</f>
        <v>21</v>
      </c>
      <c r="O100" s="7">
        <f t="shared" si="9"/>
        <v>21</v>
      </c>
      <c r="P100" s="7">
        <f t="shared" si="10"/>
        <v>15.100000000000001</v>
      </c>
      <c r="Q100" s="10">
        <f t="shared" si="11"/>
        <v>0.4182825484764543</v>
      </c>
      <c r="R100" t="s">
        <v>13</v>
      </c>
      <c r="S100" t="s">
        <v>22</v>
      </c>
    </row>
    <row r="101" spans="1:19">
      <c r="A101" t="s">
        <v>140</v>
      </c>
      <c r="B101" s="3">
        <v>46170</v>
      </c>
      <c r="C101" t="s">
        <v>44</v>
      </c>
      <c r="D101" t="s">
        <v>20</v>
      </c>
      <c r="E101" t="s">
        <v>76</v>
      </c>
      <c r="F101" t="str">
        <f>_xlfn.XLOOKUP(E101,Product_Lookup!$A$2:$A$14,Product_Lookup!$B$2:$B$14)</f>
        <v>Cookware Set</v>
      </c>
      <c r="G101" t="str">
        <f>_xlfn.XLOOKUP(Sales_Data!E101,Product_Lookup!$A$2:$A$14,Product_Lookup!$C$2:$C$14)</f>
        <v>Kitchenware</v>
      </c>
      <c r="H101">
        <f>_xlfn.XLOOKUP(E101,Product_Lookup!$A$2:$A$14,Product_Lookup!$D$2:$D$14)</f>
        <v>110</v>
      </c>
      <c r="I101">
        <v>3</v>
      </c>
      <c r="J101">
        <f t="shared" si="6"/>
        <v>330</v>
      </c>
      <c r="K101" s="4">
        <v>0</v>
      </c>
      <c r="L101" s="7">
        <f t="shared" si="7"/>
        <v>0</v>
      </c>
      <c r="M101" s="7">
        <f t="shared" si="8"/>
        <v>330</v>
      </c>
      <c r="N101" s="7">
        <f>_xlfn.XLOOKUP(E101,Product_Lookup!$A$2:$A$14,Product_Lookup!$E$2:$E$14)</f>
        <v>65</v>
      </c>
      <c r="O101" s="7">
        <f t="shared" si="9"/>
        <v>195</v>
      </c>
      <c r="P101" s="7">
        <f t="shared" si="10"/>
        <v>135</v>
      </c>
      <c r="Q101" s="10">
        <f t="shared" si="11"/>
        <v>0.40909090909090912</v>
      </c>
      <c r="R101" t="s">
        <v>36</v>
      </c>
      <c r="S101" t="s">
        <v>33</v>
      </c>
    </row>
    <row r="102" spans="1:19">
      <c r="A102" t="s">
        <v>141</v>
      </c>
      <c r="B102" s="3">
        <v>46071</v>
      </c>
      <c r="C102" t="s">
        <v>38</v>
      </c>
      <c r="D102" t="s">
        <v>11</v>
      </c>
      <c r="E102" t="s">
        <v>12</v>
      </c>
      <c r="F102" t="str">
        <f>_xlfn.XLOOKUP(E102,Product_Lookup!$A$2:$A$14,Product_Lookup!$B$2:$B$14)</f>
        <v>Desk</v>
      </c>
      <c r="G102" t="str">
        <f>_xlfn.XLOOKUP(Sales_Data!E102,Product_Lookup!$A$2:$A$14,Product_Lookup!$C$2:$C$14)</f>
        <v>Furniture</v>
      </c>
      <c r="H102">
        <f>_xlfn.XLOOKUP(E102,Product_Lookup!$A$2:$A$14,Product_Lookup!$D$2:$D$14)</f>
        <v>210</v>
      </c>
      <c r="I102">
        <v>5</v>
      </c>
      <c r="J102">
        <f t="shared" si="6"/>
        <v>1050</v>
      </c>
      <c r="K102" s="4">
        <v>0.05</v>
      </c>
      <c r="L102" s="7">
        <f t="shared" si="7"/>
        <v>52.5</v>
      </c>
      <c r="M102" s="7">
        <f t="shared" si="8"/>
        <v>997.5</v>
      </c>
      <c r="N102" s="7">
        <f>_xlfn.XLOOKUP(E102,Product_Lookup!$A$2:$A$14,Product_Lookup!$E$2:$E$14)</f>
        <v>132</v>
      </c>
      <c r="O102" s="7">
        <f t="shared" si="9"/>
        <v>660</v>
      </c>
      <c r="P102" s="7">
        <f t="shared" si="10"/>
        <v>337.5</v>
      </c>
      <c r="Q102" s="10">
        <f t="shared" si="11"/>
        <v>0.33834586466165412</v>
      </c>
      <c r="R102" t="s">
        <v>13</v>
      </c>
      <c r="S102" t="s">
        <v>42</v>
      </c>
    </row>
    <row r="103" spans="1:19">
      <c r="A103" t="s">
        <v>142</v>
      </c>
      <c r="B103" s="3">
        <v>46078</v>
      </c>
      <c r="C103" t="s">
        <v>38</v>
      </c>
      <c r="D103" t="s">
        <v>16</v>
      </c>
      <c r="E103" t="s">
        <v>76</v>
      </c>
      <c r="F103" t="str">
        <f>_xlfn.XLOOKUP(E103,Product_Lookup!$A$2:$A$14,Product_Lookup!$B$2:$B$14)</f>
        <v>Cookware Set</v>
      </c>
      <c r="G103" t="str">
        <f>_xlfn.XLOOKUP(Sales_Data!E103,Product_Lookup!$A$2:$A$14,Product_Lookup!$C$2:$C$14)</f>
        <v>Kitchenware</v>
      </c>
      <c r="H103">
        <f>_xlfn.XLOOKUP(E103,Product_Lookup!$A$2:$A$14,Product_Lookup!$D$2:$D$14)</f>
        <v>110</v>
      </c>
      <c r="I103">
        <v>6</v>
      </c>
      <c r="J103">
        <f t="shared" si="6"/>
        <v>660</v>
      </c>
      <c r="K103" s="4">
        <v>0</v>
      </c>
      <c r="L103" s="7">
        <f t="shared" si="7"/>
        <v>0</v>
      </c>
      <c r="M103" s="7">
        <f t="shared" si="8"/>
        <v>660</v>
      </c>
      <c r="N103" s="7">
        <f>_xlfn.XLOOKUP(E103,Product_Lookup!$A$2:$A$14,Product_Lookup!$E$2:$E$14)</f>
        <v>65</v>
      </c>
      <c r="O103" s="7">
        <f t="shared" si="9"/>
        <v>390</v>
      </c>
      <c r="P103" s="7">
        <f t="shared" si="10"/>
        <v>270</v>
      </c>
      <c r="Q103" s="10">
        <f t="shared" si="11"/>
        <v>0.40909090909090912</v>
      </c>
      <c r="R103" t="s">
        <v>36</v>
      </c>
      <c r="S103" t="s">
        <v>33</v>
      </c>
    </row>
    <row r="104" spans="1:19">
      <c r="A104" t="s">
        <v>143</v>
      </c>
      <c r="B104" s="3">
        <v>46077</v>
      </c>
      <c r="C104" t="s">
        <v>38</v>
      </c>
      <c r="D104" t="s">
        <v>16</v>
      </c>
      <c r="E104" t="s">
        <v>98</v>
      </c>
      <c r="F104" t="str">
        <f>_xlfn.XLOOKUP(E104,Product_Lookup!$A$2:$A$14,Product_Lookup!$B$2:$B$14)</f>
        <v>Blender</v>
      </c>
      <c r="G104" t="str">
        <f>_xlfn.XLOOKUP(Sales_Data!E104,Product_Lookup!$A$2:$A$14,Product_Lookup!$C$2:$C$14)</f>
        <v>Kitchenware</v>
      </c>
      <c r="H104">
        <f>_xlfn.XLOOKUP(E104,Product_Lookup!$A$2:$A$14,Product_Lookup!$D$2:$D$14)</f>
        <v>75</v>
      </c>
      <c r="I104">
        <v>6</v>
      </c>
      <c r="J104">
        <f t="shared" si="6"/>
        <v>450</v>
      </c>
      <c r="K104" s="4">
        <v>0.15</v>
      </c>
      <c r="L104" s="7">
        <f t="shared" si="7"/>
        <v>67.5</v>
      </c>
      <c r="M104" s="7">
        <f t="shared" si="8"/>
        <v>382.5</v>
      </c>
      <c r="N104" s="7">
        <f>_xlfn.XLOOKUP(E104,Product_Lookup!$A$2:$A$14,Product_Lookup!$E$2:$E$14)</f>
        <v>43</v>
      </c>
      <c r="O104" s="7">
        <f t="shared" si="9"/>
        <v>258</v>
      </c>
      <c r="P104" s="7">
        <f t="shared" si="10"/>
        <v>124.5</v>
      </c>
      <c r="Q104" s="10">
        <f t="shared" si="11"/>
        <v>0.32549019607843138</v>
      </c>
      <c r="R104" t="s">
        <v>13</v>
      </c>
      <c r="S104" t="s">
        <v>39</v>
      </c>
    </row>
    <row r="105" spans="1:19">
      <c r="A105" t="s">
        <v>144</v>
      </c>
      <c r="B105" s="3">
        <v>46173</v>
      </c>
      <c r="C105" t="s">
        <v>44</v>
      </c>
      <c r="D105" t="s">
        <v>11</v>
      </c>
      <c r="E105" t="s">
        <v>27</v>
      </c>
      <c r="F105" t="str">
        <f>_xlfn.XLOOKUP(E105,Product_Lookup!$A$2:$A$14,Product_Lookup!$B$2:$B$14)</f>
        <v>Kettle</v>
      </c>
      <c r="G105" t="str">
        <f>_xlfn.XLOOKUP(Sales_Data!E105,Product_Lookup!$A$2:$A$14,Product_Lookup!$C$2:$C$14)</f>
        <v>Kitchenware</v>
      </c>
      <c r="H105">
        <f>_xlfn.XLOOKUP(E105,Product_Lookup!$A$2:$A$14,Product_Lookup!$D$2:$D$14)</f>
        <v>38</v>
      </c>
      <c r="I105">
        <v>2</v>
      </c>
      <c r="J105">
        <f t="shared" si="6"/>
        <v>76</v>
      </c>
      <c r="K105" s="4">
        <v>0.15</v>
      </c>
      <c r="L105" s="7">
        <f t="shared" si="7"/>
        <v>11.4</v>
      </c>
      <c r="M105" s="7">
        <f t="shared" si="8"/>
        <v>64.599999999999994</v>
      </c>
      <c r="N105" s="7">
        <f>_xlfn.XLOOKUP(E105,Product_Lookup!$A$2:$A$14,Product_Lookup!$E$2:$E$14)</f>
        <v>21</v>
      </c>
      <c r="O105" s="7">
        <f t="shared" si="9"/>
        <v>42</v>
      </c>
      <c r="P105" s="7">
        <f t="shared" si="10"/>
        <v>22.599999999999994</v>
      </c>
      <c r="Q105" s="10">
        <f t="shared" si="11"/>
        <v>0.34984520123839002</v>
      </c>
      <c r="R105" t="s">
        <v>13</v>
      </c>
      <c r="S105" t="s">
        <v>22</v>
      </c>
    </row>
    <row r="106" spans="1:19">
      <c r="A106" t="s">
        <v>145</v>
      </c>
      <c r="B106" s="3">
        <v>46166</v>
      </c>
      <c r="C106" t="s">
        <v>44</v>
      </c>
      <c r="D106" t="s">
        <v>11</v>
      </c>
      <c r="E106" t="s">
        <v>12</v>
      </c>
      <c r="F106" t="str">
        <f>_xlfn.XLOOKUP(E106,Product_Lookup!$A$2:$A$14,Product_Lookup!$B$2:$B$14)</f>
        <v>Desk</v>
      </c>
      <c r="G106" t="str">
        <f>_xlfn.XLOOKUP(Sales_Data!E106,Product_Lookup!$A$2:$A$14,Product_Lookup!$C$2:$C$14)</f>
        <v>Furniture</v>
      </c>
      <c r="H106">
        <f>_xlfn.XLOOKUP(E106,Product_Lookup!$A$2:$A$14,Product_Lookup!$D$2:$D$14)</f>
        <v>210</v>
      </c>
      <c r="I106">
        <v>5</v>
      </c>
      <c r="J106">
        <f t="shared" si="6"/>
        <v>1050</v>
      </c>
      <c r="K106" s="4">
        <v>0.15</v>
      </c>
      <c r="L106" s="7">
        <f t="shared" si="7"/>
        <v>157.5</v>
      </c>
      <c r="M106" s="7">
        <f t="shared" si="8"/>
        <v>892.5</v>
      </c>
      <c r="N106" s="7">
        <f>_xlfn.XLOOKUP(E106,Product_Lookup!$A$2:$A$14,Product_Lookup!$E$2:$E$14)</f>
        <v>132</v>
      </c>
      <c r="O106" s="7">
        <f t="shared" si="9"/>
        <v>660</v>
      </c>
      <c r="P106" s="7">
        <f t="shared" si="10"/>
        <v>232.5</v>
      </c>
      <c r="Q106" s="10">
        <f t="shared" si="11"/>
        <v>0.26050420168067229</v>
      </c>
      <c r="R106" t="s">
        <v>13</v>
      </c>
      <c r="S106" t="s">
        <v>33</v>
      </c>
    </row>
    <row r="107" spans="1:19">
      <c r="A107" t="s">
        <v>146</v>
      </c>
      <c r="B107" s="3">
        <v>46196</v>
      </c>
      <c r="C107" t="s">
        <v>10</v>
      </c>
      <c r="D107" t="s">
        <v>20</v>
      </c>
      <c r="E107" t="s">
        <v>27</v>
      </c>
      <c r="F107" t="str">
        <f>_xlfn.XLOOKUP(E107,Product_Lookup!$A$2:$A$14,Product_Lookup!$B$2:$B$14)</f>
        <v>Kettle</v>
      </c>
      <c r="G107" t="str">
        <f>_xlfn.XLOOKUP(Sales_Data!E107,Product_Lookup!$A$2:$A$14,Product_Lookup!$C$2:$C$14)</f>
        <v>Kitchenware</v>
      </c>
      <c r="H107">
        <f>_xlfn.XLOOKUP(E107,Product_Lookup!$A$2:$A$14,Product_Lookup!$D$2:$D$14)</f>
        <v>38</v>
      </c>
      <c r="I107">
        <v>3</v>
      </c>
      <c r="J107">
        <f t="shared" si="6"/>
        <v>114</v>
      </c>
      <c r="K107" s="4">
        <v>0.05</v>
      </c>
      <c r="L107" s="7">
        <f t="shared" si="7"/>
        <v>5.7</v>
      </c>
      <c r="M107" s="7">
        <f t="shared" si="8"/>
        <v>108.3</v>
      </c>
      <c r="N107" s="7">
        <f>_xlfn.XLOOKUP(E107,Product_Lookup!$A$2:$A$14,Product_Lookup!$E$2:$E$14)</f>
        <v>21</v>
      </c>
      <c r="O107" s="7">
        <f t="shared" si="9"/>
        <v>63</v>
      </c>
      <c r="P107" s="7">
        <f t="shared" si="10"/>
        <v>45.3</v>
      </c>
      <c r="Q107" s="10">
        <f t="shared" si="11"/>
        <v>0.4182825484764543</v>
      </c>
      <c r="R107" t="s">
        <v>13</v>
      </c>
      <c r="S107" t="s">
        <v>42</v>
      </c>
    </row>
    <row r="108" spans="1:19">
      <c r="A108" t="s">
        <v>147</v>
      </c>
      <c r="B108" s="3">
        <v>46025</v>
      </c>
      <c r="C108" t="s">
        <v>29</v>
      </c>
      <c r="D108" t="s">
        <v>11</v>
      </c>
      <c r="E108" t="s">
        <v>45</v>
      </c>
      <c r="F108" t="str">
        <f>_xlfn.XLOOKUP(E108,Product_Lookup!$A$2:$A$14,Product_Lookup!$B$2:$B$14)</f>
        <v>Cushion Set</v>
      </c>
      <c r="G108" t="str">
        <f>_xlfn.XLOOKUP(Sales_Data!E108,Product_Lookup!$A$2:$A$14,Product_Lookup!$C$2:$C$14)</f>
        <v>Home Accessories</v>
      </c>
      <c r="H108">
        <f>_xlfn.XLOOKUP(E108,Product_Lookup!$A$2:$A$14,Product_Lookup!$D$2:$D$14)</f>
        <v>32</v>
      </c>
      <c r="I108">
        <v>4</v>
      </c>
      <c r="J108">
        <f t="shared" si="6"/>
        <v>128</v>
      </c>
      <c r="K108" s="4">
        <v>0.05</v>
      </c>
      <c r="L108" s="7">
        <f t="shared" si="7"/>
        <v>6.4</v>
      </c>
      <c r="M108" s="7">
        <f t="shared" si="8"/>
        <v>121.6</v>
      </c>
      <c r="N108" s="7">
        <f>_xlfn.XLOOKUP(E108,Product_Lookup!$A$2:$A$14,Product_Lookup!$E$2:$E$14)</f>
        <v>14</v>
      </c>
      <c r="O108" s="7">
        <f t="shared" si="9"/>
        <v>56</v>
      </c>
      <c r="P108" s="7">
        <f t="shared" si="10"/>
        <v>65.599999999999994</v>
      </c>
      <c r="Q108" s="10">
        <f t="shared" si="11"/>
        <v>0.53947368421052633</v>
      </c>
      <c r="R108" t="s">
        <v>13</v>
      </c>
      <c r="S108" t="s">
        <v>48</v>
      </c>
    </row>
    <row r="109" spans="1:19">
      <c r="A109" t="s">
        <v>148</v>
      </c>
      <c r="B109" s="3">
        <v>46135</v>
      </c>
      <c r="C109" t="s">
        <v>44</v>
      </c>
      <c r="D109" t="s">
        <v>20</v>
      </c>
      <c r="E109" t="s">
        <v>25</v>
      </c>
      <c r="F109" t="str">
        <f>_xlfn.XLOOKUP(E109,Product_Lookup!$A$2:$A$14,Product_Lookup!$B$2:$B$14)</f>
        <v>Table Lamp</v>
      </c>
      <c r="G109" t="str">
        <f>_xlfn.XLOOKUP(Sales_Data!E109,Product_Lookup!$A$2:$A$14,Product_Lookup!$C$2:$C$14)</f>
        <v>Lighting</v>
      </c>
      <c r="H109">
        <f>_xlfn.XLOOKUP(E109,Product_Lookup!$A$2:$A$14,Product_Lookup!$D$2:$D$14)</f>
        <v>62</v>
      </c>
      <c r="I109">
        <v>5</v>
      </c>
      <c r="J109">
        <f t="shared" si="6"/>
        <v>310</v>
      </c>
      <c r="K109" s="4">
        <v>0.15</v>
      </c>
      <c r="L109" s="7">
        <f t="shared" si="7"/>
        <v>46.5</v>
      </c>
      <c r="M109" s="7">
        <f t="shared" si="8"/>
        <v>263.5</v>
      </c>
      <c r="N109" s="7">
        <f>_xlfn.XLOOKUP(E109,Product_Lookup!$A$2:$A$14,Product_Lookup!$E$2:$E$14)</f>
        <v>31</v>
      </c>
      <c r="O109" s="7">
        <f t="shared" si="9"/>
        <v>155</v>
      </c>
      <c r="P109" s="7">
        <f t="shared" si="10"/>
        <v>108.5</v>
      </c>
      <c r="Q109" s="10">
        <f t="shared" si="11"/>
        <v>0.41176470588235292</v>
      </c>
      <c r="R109" t="s">
        <v>13</v>
      </c>
      <c r="S109" t="s">
        <v>14</v>
      </c>
    </row>
    <row r="110" spans="1:19">
      <c r="A110" t="s">
        <v>149</v>
      </c>
      <c r="B110" s="3">
        <v>46182</v>
      </c>
      <c r="C110" t="s">
        <v>10</v>
      </c>
      <c r="D110" t="s">
        <v>11</v>
      </c>
      <c r="E110" t="s">
        <v>12</v>
      </c>
      <c r="F110" t="str">
        <f>_xlfn.XLOOKUP(E110,Product_Lookup!$A$2:$A$14,Product_Lookup!$B$2:$B$14)</f>
        <v>Desk</v>
      </c>
      <c r="G110" t="str">
        <f>_xlfn.XLOOKUP(Sales_Data!E110,Product_Lookup!$A$2:$A$14,Product_Lookup!$C$2:$C$14)</f>
        <v>Furniture</v>
      </c>
      <c r="H110">
        <f>_xlfn.XLOOKUP(E110,Product_Lookup!$A$2:$A$14,Product_Lookup!$D$2:$D$14)</f>
        <v>210</v>
      </c>
      <c r="I110">
        <v>7</v>
      </c>
      <c r="J110">
        <f t="shared" si="6"/>
        <v>1470</v>
      </c>
      <c r="K110" s="4">
        <v>0.15</v>
      </c>
      <c r="L110" s="7">
        <f t="shared" si="7"/>
        <v>220.5</v>
      </c>
      <c r="M110" s="7">
        <f t="shared" si="8"/>
        <v>1249.5</v>
      </c>
      <c r="N110" s="7">
        <f>_xlfn.XLOOKUP(E110,Product_Lookup!$A$2:$A$14,Product_Lookup!$E$2:$E$14)</f>
        <v>132</v>
      </c>
      <c r="O110" s="7">
        <f t="shared" si="9"/>
        <v>924</v>
      </c>
      <c r="P110" s="7">
        <f t="shared" si="10"/>
        <v>325.5</v>
      </c>
      <c r="Q110" s="10">
        <f t="shared" si="11"/>
        <v>0.26050420168067229</v>
      </c>
      <c r="R110" t="s">
        <v>13</v>
      </c>
      <c r="S110" t="s">
        <v>14</v>
      </c>
    </row>
    <row r="111" spans="1:19">
      <c r="A111" t="s">
        <v>150</v>
      </c>
      <c r="B111" s="3">
        <v>46056</v>
      </c>
      <c r="C111" t="s">
        <v>24</v>
      </c>
      <c r="D111" t="s">
        <v>16</v>
      </c>
      <c r="E111" t="s">
        <v>17</v>
      </c>
      <c r="F111" t="str">
        <f>_xlfn.XLOOKUP(E111,Product_Lookup!$A$2:$A$14,Product_Lookup!$B$2:$B$14)</f>
        <v>Storage Box</v>
      </c>
      <c r="G111" t="str">
        <f>_xlfn.XLOOKUP(Sales_Data!E111,Product_Lookup!$A$2:$A$14,Product_Lookup!$C$2:$C$14)</f>
        <v>Storage</v>
      </c>
      <c r="H111">
        <f>_xlfn.XLOOKUP(E111,Product_Lookup!$A$2:$A$14,Product_Lookup!$D$2:$D$14)</f>
        <v>26</v>
      </c>
      <c r="I111">
        <v>3</v>
      </c>
      <c r="J111">
        <f t="shared" si="6"/>
        <v>78</v>
      </c>
      <c r="K111" s="4">
        <v>0.2</v>
      </c>
      <c r="L111" s="7">
        <f t="shared" si="7"/>
        <v>15.600000000000001</v>
      </c>
      <c r="M111" s="7">
        <f t="shared" si="8"/>
        <v>62.4</v>
      </c>
      <c r="N111" s="7">
        <f>_xlfn.XLOOKUP(E111,Product_Lookup!$A$2:$A$14,Product_Lookup!$E$2:$E$14)</f>
        <v>11</v>
      </c>
      <c r="O111" s="7">
        <f t="shared" si="9"/>
        <v>33</v>
      </c>
      <c r="P111" s="7">
        <f t="shared" si="10"/>
        <v>29.4</v>
      </c>
      <c r="Q111" s="10">
        <f t="shared" si="11"/>
        <v>0.47115384615384615</v>
      </c>
      <c r="R111" t="s">
        <v>13</v>
      </c>
      <c r="S111" t="s">
        <v>22</v>
      </c>
    </row>
    <row r="112" spans="1:19">
      <c r="A112" t="s">
        <v>151</v>
      </c>
      <c r="B112" s="3">
        <v>46135</v>
      </c>
      <c r="C112" t="s">
        <v>38</v>
      </c>
      <c r="D112" t="s">
        <v>11</v>
      </c>
      <c r="E112" t="s">
        <v>45</v>
      </c>
      <c r="F112" t="str">
        <f>_xlfn.XLOOKUP(E112,Product_Lookup!$A$2:$A$14,Product_Lookup!$B$2:$B$14)</f>
        <v>Cushion Set</v>
      </c>
      <c r="G112" t="str">
        <f>_xlfn.XLOOKUP(Sales_Data!E112,Product_Lookup!$A$2:$A$14,Product_Lookup!$C$2:$C$14)</f>
        <v>Home Accessories</v>
      </c>
      <c r="H112">
        <f>_xlfn.XLOOKUP(E112,Product_Lookup!$A$2:$A$14,Product_Lookup!$D$2:$D$14)</f>
        <v>32</v>
      </c>
      <c r="I112">
        <v>5</v>
      </c>
      <c r="J112">
        <f t="shared" si="6"/>
        <v>160</v>
      </c>
      <c r="K112" s="4">
        <v>0.25</v>
      </c>
      <c r="L112" s="7">
        <f t="shared" si="7"/>
        <v>40</v>
      </c>
      <c r="M112" s="7">
        <f t="shared" si="8"/>
        <v>120</v>
      </c>
      <c r="N112" s="7">
        <f>_xlfn.XLOOKUP(E112,Product_Lookup!$A$2:$A$14,Product_Lookup!$E$2:$E$14)</f>
        <v>14</v>
      </c>
      <c r="O112" s="7">
        <f t="shared" si="9"/>
        <v>70</v>
      </c>
      <c r="P112" s="7">
        <f t="shared" si="10"/>
        <v>50</v>
      </c>
      <c r="Q112" s="10">
        <f t="shared" si="11"/>
        <v>0.41666666666666669</v>
      </c>
      <c r="R112" t="s">
        <v>13</v>
      </c>
      <c r="S112" t="s">
        <v>48</v>
      </c>
    </row>
    <row r="113" spans="1:19">
      <c r="A113" t="s">
        <v>152</v>
      </c>
      <c r="B113" s="3">
        <v>46138</v>
      </c>
      <c r="C113" t="s">
        <v>29</v>
      </c>
      <c r="D113" t="s">
        <v>11</v>
      </c>
      <c r="E113" t="s">
        <v>67</v>
      </c>
      <c r="F113" t="str">
        <f>_xlfn.XLOOKUP(E113,Product_Lookup!$A$2:$A$14,Product_Lookup!$B$2:$B$14)</f>
        <v>Rug</v>
      </c>
      <c r="G113" t="str">
        <f>_xlfn.XLOOKUP(Sales_Data!E113,Product_Lookup!$A$2:$A$14,Product_Lookup!$C$2:$C$14)</f>
        <v>Home Accessories</v>
      </c>
      <c r="H113">
        <f>_xlfn.XLOOKUP(E113,Product_Lookup!$A$2:$A$14,Product_Lookup!$D$2:$D$14)</f>
        <v>145</v>
      </c>
      <c r="I113">
        <v>3</v>
      </c>
      <c r="J113">
        <f t="shared" si="6"/>
        <v>435</v>
      </c>
      <c r="K113" s="4">
        <v>0.05</v>
      </c>
      <c r="L113" s="7">
        <f t="shared" si="7"/>
        <v>21.75</v>
      </c>
      <c r="M113" s="7">
        <f t="shared" si="8"/>
        <v>413.25</v>
      </c>
      <c r="N113" s="7">
        <f>_xlfn.XLOOKUP(E113,Product_Lookup!$A$2:$A$14,Product_Lookup!$E$2:$E$14)</f>
        <v>88</v>
      </c>
      <c r="O113" s="7">
        <f t="shared" si="9"/>
        <v>264</v>
      </c>
      <c r="P113" s="7">
        <f t="shared" si="10"/>
        <v>149.25</v>
      </c>
      <c r="Q113" s="10">
        <f t="shared" si="11"/>
        <v>0.36116152450090744</v>
      </c>
      <c r="R113" t="s">
        <v>13</v>
      </c>
      <c r="S113" t="s">
        <v>33</v>
      </c>
    </row>
    <row r="114" spans="1:19">
      <c r="A114" t="s">
        <v>153</v>
      </c>
      <c r="B114" s="3">
        <v>46028</v>
      </c>
      <c r="C114" t="s">
        <v>24</v>
      </c>
      <c r="D114" t="s">
        <v>20</v>
      </c>
      <c r="E114" t="s">
        <v>57</v>
      </c>
      <c r="F114" t="str">
        <f>_xlfn.XLOOKUP(E114,Product_Lookup!$A$2:$A$14,Product_Lookup!$B$2:$B$14)</f>
        <v>Shelving Unit</v>
      </c>
      <c r="G114" t="str">
        <f>_xlfn.XLOOKUP(Sales_Data!E114,Product_Lookup!$A$2:$A$14,Product_Lookup!$C$2:$C$14)</f>
        <v>Storage</v>
      </c>
      <c r="H114">
        <f>_xlfn.XLOOKUP(E114,Product_Lookup!$A$2:$A$14,Product_Lookup!$D$2:$D$14)</f>
        <v>115</v>
      </c>
      <c r="I114">
        <v>6</v>
      </c>
      <c r="J114">
        <f t="shared" si="6"/>
        <v>690</v>
      </c>
      <c r="K114" s="4">
        <v>0.05</v>
      </c>
      <c r="L114" s="7">
        <f t="shared" si="7"/>
        <v>34.5</v>
      </c>
      <c r="M114" s="7">
        <f t="shared" si="8"/>
        <v>655.5</v>
      </c>
      <c r="N114" s="7">
        <f>_xlfn.XLOOKUP(E114,Product_Lookup!$A$2:$A$14,Product_Lookup!$E$2:$E$14)</f>
        <v>67</v>
      </c>
      <c r="O114" s="7">
        <f t="shared" si="9"/>
        <v>402</v>
      </c>
      <c r="P114" s="7">
        <f t="shared" si="10"/>
        <v>253.5</v>
      </c>
      <c r="Q114" s="10">
        <f t="shared" si="11"/>
        <v>0.38672768878718533</v>
      </c>
      <c r="R114" t="s">
        <v>13</v>
      </c>
      <c r="S114" t="s">
        <v>22</v>
      </c>
    </row>
    <row r="115" spans="1:19">
      <c r="A115" t="s">
        <v>154</v>
      </c>
      <c r="B115" s="3">
        <v>46194</v>
      </c>
      <c r="C115" t="s">
        <v>44</v>
      </c>
      <c r="D115" t="s">
        <v>16</v>
      </c>
      <c r="E115" t="s">
        <v>32</v>
      </c>
      <c r="F115" t="str">
        <f>_xlfn.XLOOKUP(E115,Product_Lookup!$A$2:$A$14,Product_Lookup!$B$2:$B$14)</f>
        <v>Sofa</v>
      </c>
      <c r="G115" t="str">
        <f>_xlfn.XLOOKUP(Sales_Data!E115,Product_Lookup!$A$2:$A$14,Product_Lookup!$C$2:$C$14)</f>
        <v>Furniture</v>
      </c>
      <c r="H115">
        <f>_xlfn.XLOOKUP(E115,Product_Lookup!$A$2:$A$14,Product_Lookup!$D$2:$D$14)</f>
        <v>420</v>
      </c>
      <c r="I115">
        <v>2</v>
      </c>
      <c r="J115">
        <f t="shared" si="6"/>
        <v>840</v>
      </c>
      <c r="K115" s="4">
        <v>0.1</v>
      </c>
      <c r="L115" s="7">
        <f t="shared" si="7"/>
        <v>84</v>
      </c>
      <c r="M115" s="7">
        <f t="shared" si="8"/>
        <v>756</v>
      </c>
      <c r="N115" s="7">
        <f>_xlfn.XLOOKUP(E115,Product_Lookup!$A$2:$A$14,Product_Lookup!$E$2:$E$14)</f>
        <v>280</v>
      </c>
      <c r="O115" s="7">
        <f t="shared" si="9"/>
        <v>560</v>
      </c>
      <c r="P115" s="7">
        <f t="shared" si="10"/>
        <v>196</v>
      </c>
      <c r="Q115" s="10">
        <f t="shared" si="11"/>
        <v>0.25925925925925924</v>
      </c>
      <c r="R115" t="s">
        <v>13</v>
      </c>
      <c r="S115" t="s">
        <v>48</v>
      </c>
    </row>
    <row r="116" spans="1:19">
      <c r="A116" t="s">
        <v>155</v>
      </c>
      <c r="B116" s="3">
        <v>46123</v>
      </c>
      <c r="C116" t="s">
        <v>44</v>
      </c>
      <c r="D116" t="s">
        <v>20</v>
      </c>
      <c r="E116" t="s">
        <v>41</v>
      </c>
      <c r="F116" t="str">
        <f>_xlfn.XLOOKUP(E116,Product_Lookup!$A$2:$A$14,Product_Lookup!$B$2:$B$14)</f>
        <v>Floor Lamp</v>
      </c>
      <c r="G116" t="str">
        <f>_xlfn.XLOOKUP(Sales_Data!E116,Product_Lookup!$A$2:$A$14,Product_Lookup!$C$2:$C$14)</f>
        <v>Lighting</v>
      </c>
      <c r="H116">
        <f>_xlfn.XLOOKUP(E116,Product_Lookup!$A$2:$A$14,Product_Lookup!$D$2:$D$14)</f>
        <v>125</v>
      </c>
      <c r="I116">
        <v>2</v>
      </c>
      <c r="J116">
        <f t="shared" si="6"/>
        <v>250</v>
      </c>
      <c r="K116" s="4">
        <v>0.15</v>
      </c>
      <c r="L116" s="7">
        <f t="shared" si="7"/>
        <v>37.5</v>
      </c>
      <c r="M116" s="7">
        <f t="shared" si="8"/>
        <v>212.5</v>
      </c>
      <c r="N116" s="7">
        <f>_xlfn.XLOOKUP(E116,Product_Lookup!$A$2:$A$14,Product_Lookup!$E$2:$E$14)</f>
        <v>73</v>
      </c>
      <c r="O116" s="7">
        <f t="shared" si="9"/>
        <v>146</v>
      </c>
      <c r="P116" s="7">
        <f t="shared" si="10"/>
        <v>66.5</v>
      </c>
      <c r="Q116" s="10">
        <f t="shared" si="11"/>
        <v>0.31294117647058822</v>
      </c>
      <c r="R116" t="s">
        <v>13</v>
      </c>
      <c r="S116" t="s">
        <v>22</v>
      </c>
    </row>
    <row r="117" spans="1:19">
      <c r="A117" t="s">
        <v>156</v>
      </c>
      <c r="B117" s="3">
        <v>46066</v>
      </c>
      <c r="C117" t="s">
        <v>29</v>
      </c>
      <c r="D117" t="s">
        <v>11</v>
      </c>
      <c r="E117" t="s">
        <v>45</v>
      </c>
      <c r="F117" t="str">
        <f>_xlfn.XLOOKUP(E117,Product_Lookup!$A$2:$A$14,Product_Lookup!$B$2:$B$14)</f>
        <v>Cushion Set</v>
      </c>
      <c r="G117" t="str">
        <f>_xlfn.XLOOKUP(Sales_Data!E117,Product_Lookup!$A$2:$A$14,Product_Lookup!$C$2:$C$14)</f>
        <v>Home Accessories</v>
      </c>
      <c r="H117">
        <f>_xlfn.XLOOKUP(E117,Product_Lookup!$A$2:$A$14,Product_Lookup!$D$2:$D$14)</f>
        <v>32</v>
      </c>
      <c r="I117">
        <v>7</v>
      </c>
      <c r="J117">
        <f t="shared" si="6"/>
        <v>224</v>
      </c>
      <c r="K117" s="4">
        <v>0.05</v>
      </c>
      <c r="L117" s="7">
        <f t="shared" si="7"/>
        <v>11.200000000000001</v>
      </c>
      <c r="M117" s="7">
        <f t="shared" si="8"/>
        <v>212.8</v>
      </c>
      <c r="N117" s="7">
        <f>_xlfn.XLOOKUP(E117,Product_Lookup!$A$2:$A$14,Product_Lookup!$E$2:$E$14)</f>
        <v>14</v>
      </c>
      <c r="O117" s="7">
        <f t="shared" si="9"/>
        <v>98</v>
      </c>
      <c r="P117" s="7">
        <f t="shared" si="10"/>
        <v>114.80000000000001</v>
      </c>
      <c r="Q117" s="10">
        <f t="shared" si="11"/>
        <v>0.53947368421052633</v>
      </c>
      <c r="R117" t="s">
        <v>13</v>
      </c>
      <c r="S117" t="s">
        <v>48</v>
      </c>
    </row>
    <row r="118" spans="1:19">
      <c r="A118" t="s">
        <v>157</v>
      </c>
      <c r="B118" s="3">
        <v>46171</v>
      </c>
      <c r="C118" t="s">
        <v>24</v>
      </c>
      <c r="D118" t="s">
        <v>11</v>
      </c>
      <c r="E118" t="s">
        <v>32</v>
      </c>
      <c r="F118" t="str">
        <f>_xlfn.XLOOKUP(E118,Product_Lookup!$A$2:$A$14,Product_Lookup!$B$2:$B$14)</f>
        <v>Sofa</v>
      </c>
      <c r="G118" t="str">
        <f>_xlfn.XLOOKUP(Sales_Data!E118,Product_Lookup!$A$2:$A$14,Product_Lookup!$C$2:$C$14)</f>
        <v>Furniture</v>
      </c>
      <c r="H118">
        <f>_xlfn.XLOOKUP(E118,Product_Lookup!$A$2:$A$14,Product_Lookup!$D$2:$D$14)</f>
        <v>420</v>
      </c>
      <c r="I118">
        <v>3</v>
      </c>
      <c r="J118">
        <f t="shared" si="6"/>
        <v>1260</v>
      </c>
      <c r="K118" s="4">
        <v>0</v>
      </c>
      <c r="L118" s="7">
        <f t="shared" si="7"/>
        <v>0</v>
      </c>
      <c r="M118" s="7">
        <f t="shared" si="8"/>
        <v>1260</v>
      </c>
      <c r="N118" s="7">
        <f>_xlfn.XLOOKUP(E118,Product_Lookup!$A$2:$A$14,Product_Lookup!$E$2:$E$14)</f>
        <v>280</v>
      </c>
      <c r="O118" s="7">
        <f t="shared" si="9"/>
        <v>840</v>
      </c>
      <c r="P118" s="7">
        <f t="shared" si="10"/>
        <v>420</v>
      </c>
      <c r="Q118" s="10">
        <f t="shared" si="11"/>
        <v>0.33333333333333331</v>
      </c>
      <c r="R118" t="s">
        <v>13</v>
      </c>
      <c r="S118" t="s">
        <v>18</v>
      </c>
    </row>
    <row r="119" spans="1:19">
      <c r="A119" t="s">
        <v>158</v>
      </c>
      <c r="B119" s="3">
        <v>46195</v>
      </c>
      <c r="C119" t="s">
        <v>29</v>
      </c>
      <c r="D119" t="s">
        <v>11</v>
      </c>
      <c r="E119" t="s">
        <v>12</v>
      </c>
      <c r="F119" t="str">
        <f>_xlfn.XLOOKUP(E119,Product_Lookup!$A$2:$A$14,Product_Lookup!$B$2:$B$14)</f>
        <v>Desk</v>
      </c>
      <c r="G119" t="str">
        <f>_xlfn.XLOOKUP(Sales_Data!E119,Product_Lookup!$A$2:$A$14,Product_Lookup!$C$2:$C$14)</f>
        <v>Furniture</v>
      </c>
      <c r="H119">
        <f>_xlfn.XLOOKUP(E119,Product_Lookup!$A$2:$A$14,Product_Lookup!$D$2:$D$14)</f>
        <v>210</v>
      </c>
      <c r="I119">
        <v>1</v>
      </c>
      <c r="J119">
        <f t="shared" si="6"/>
        <v>210</v>
      </c>
      <c r="K119" s="4">
        <v>0.1</v>
      </c>
      <c r="L119" s="7">
        <f t="shared" si="7"/>
        <v>21</v>
      </c>
      <c r="M119" s="7">
        <f t="shared" si="8"/>
        <v>189</v>
      </c>
      <c r="N119" s="7">
        <f>_xlfn.XLOOKUP(E119,Product_Lookup!$A$2:$A$14,Product_Lookup!$E$2:$E$14)</f>
        <v>132</v>
      </c>
      <c r="O119" s="7">
        <f t="shared" si="9"/>
        <v>132</v>
      </c>
      <c r="P119" s="7">
        <f t="shared" si="10"/>
        <v>57</v>
      </c>
      <c r="Q119" s="10">
        <f t="shared" si="11"/>
        <v>0.30158730158730157</v>
      </c>
      <c r="R119" t="s">
        <v>13</v>
      </c>
      <c r="S119" t="s">
        <v>48</v>
      </c>
    </row>
    <row r="120" spans="1:19">
      <c r="A120" t="s">
        <v>159</v>
      </c>
      <c r="B120" s="3">
        <v>46137</v>
      </c>
      <c r="C120" t="s">
        <v>38</v>
      </c>
      <c r="D120" t="s">
        <v>11</v>
      </c>
      <c r="E120" t="s">
        <v>54</v>
      </c>
      <c r="F120" t="str">
        <f>_xlfn.XLOOKUP(E120,Product_Lookup!$A$2:$A$14,Product_Lookup!$B$2:$B$14)</f>
        <v>Wall Mirror</v>
      </c>
      <c r="G120" t="str">
        <f>_xlfn.XLOOKUP(Sales_Data!E120,Product_Lookup!$A$2:$A$14,Product_Lookup!$C$2:$C$14)</f>
        <v>Home Accessories</v>
      </c>
      <c r="H120">
        <f>_xlfn.XLOOKUP(E120,Product_Lookup!$A$2:$A$14,Product_Lookup!$D$2:$D$14)</f>
        <v>85</v>
      </c>
      <c r="I120">
        <v>4</v>
      </c>
      <c r="J120">
        <f t="shared" si="6"/>
        <v>340</v>
      </c>
      <c r="K120" s="4">
        <v>0.05</v>
      </c>
      <c r="L120" s="7">
        <f t="shared" si="7"/>
        <v>17</v>
      </c>
      <c r="M120" s="7">
        <f t="shared" si="8"/>
        <v>323</v>
      </c>
      <c r="N120" s="7">
        <f>_xlfn.XLOOKUP(E120,Product_Lookup!$A$2:$A$14,Product_Lookup!$E$2:$E$14)</f>
        <v>41</v>
      </c>
      <c r="O120" s="7">
        <f t="shared" si="9"/>
        <v>164</v>
      </c>
      <c r="P120" s="7">
        <f t="shared" si="10"/>
        <v>159</v>
      </c>
      <c r="Q120" s="10">
        <f t="shared" si="11"/>
        <v>0.49226006191950467</v>
      </c>
      <c r="R120" t="s">
        <v>13</v>
      </c>
      <c r="S120" t="s">
        <v>22</v>
      </c>
    </row>
    <row r="121" spans="1:19">
      <c r="A121" t="s">
        <v>160</v>
      </c>
      <c r="B121" s="3">
        <v>46176</v>
      </c>
      <c r="C121" t="s">
        <v>29</v>
      </c>
      <c r="D121" t="s">
        <v>20</v>
      </c>
      <c r="E121" t="s">
        <v>12</v>
      </c>
      <c r="F121" t="str">
        <f>_xlfn.XLOOKUP(E121,Product_Lookup!$A$2:$A$14,Product_Lookup!$B$2:$B$14)</f>
        <v>Desk</v>
      </c>
      <c r="G121" t="str">
        <f>_xlfn.XLOOKUP(Sales_Data!E121,Product_Lookup!$A$2:$A$14,Product_Lookup!$C$2:$C$14)</f>
        <v>Furniture</v>
      </c>
      <c r="H121">
        <f>_xlfn.XLOOKUP(E121,Product_Lookup!$A$2:$A$14,Product_Lookup!$D$2:$D$14)</f>
        <v>210</v>
      </c>
      <c r="I121">
        <v>4</v>
      </c>
      <c r="J121">
        <f t="shared" si="6"/>
        <v>840</v>
      </c>
      <c r="K121" s="4">
        <v>0.25</v>
      </c>
      <c r="L121" s="7">
        <f t="shared" si="7"/>
        <v>210</v>
      </c>
      <c r="M121" s="7">
        <f t="shared" si="8"/>
        <v>630</v>
      </c>
      <c r="N121" s="7">
        <f>_xlfn.XLOOKUP(E121,Product_Lookup!$A$2:$A$14,Product_Lookup!$E$2:$E$14)</f>
        <v>132</v>
      </c>
      <c r="O121" s="7">
        <f t="shared" si="9"/>
        <v>528</v>
      </c>
      <c r="P121" s="7">
        <f t="shared" si="10"/>
        <v>102</v>
      </c>
      <c r="Q121" s="10">
        <f t="shared" si="11"/>
        <v>0.16190476190476191</v>
      </c>
      <c r="R121" t="s">
        <v>13</v>
      </c>
      <c r="S121" t="s">
        <v>18</v>
      </c>
    </row>
    <row r="122" spans="1:19">
      <c r="A122" t="s">
        <v>161</v>
      </c>
      <c r="B122" s="3">
        <v>46043</v>
      </c>
      <c r="C122" t="s">
        <v>29</v>
      </c>
      <c r="D122" t="s">
        <v>16</v>
      </c>
      <c r="E122" t="s">
        <v>54</v>
      </c>
      <c r="F122" t="str">
        <f>_xlfn.XLOOKUP(E122,Product_Lookup!$A$2:$A$14,Product_Lookup!$B$2:$B$14)</f>
        <v>Wall Mirror</v>
      </c>
      <c r="G122" t="str">
        <f>_xlfn.XLOOKUP(Sales_Data!E122,Product_Lookup!$A$2:$A$14,Product_Lookup!$C$2:$C$14)</f>
        <v>Home Accessories</v>
      </c>
      <c r="H122">
        <f>_xlfn.XLOOKUP(E122,Product_Lookup!$A$2:$A$14,Product_Lookup!$D$2:$D$14)</f>
        <v>85</v>
      </c>
      <c r="I122">
        <v>7</v>
      </c>
      <c r="J122">
        <f t="shared" si="6"/>
        <v>595</v>
      </c>
      <c r="K122" s="4">
        <v>0.05</v>
      </c>
      <c r="L122" s="7">
        <f t="shared" si="7"/>
        <v>29.75</v>
      </c>
      <c r="M122" s="7">
        <f t="shared" si="8"/>
        <v>565.25</v>
      </c>
      <c r="N122" s="7">
        <f>_xlfn.XLOOKUP(E122,Product_Lookup!$A$2:$A$14,Product_Lookup!$E$2:$E$14)</f>
        <v>41</v>
      </c>
      <c r="O122" s="7">
        <f t="shared" si="9"/>
        <v>287</v>
      </c>
      <c r="P122" s="7">
        <f t="shared" si="10"/>
        <v>278.25</v>
      </c>
      <c r="Q122" s="10">
        <f t="shared" si="11"/>
        <v>0.49226006191950467</v>
      </c>
      <c r="R122" t="s">
        <v>13</v>
      </c>
      <c r="S122" t="s">
        <v>18</v>
      </c>
    </row>
    <row r="123" spans="1:19">
      <c r="A123" t="s">
        <v>162</v>
      </c>
      <c r="B123" s="3">
        <v>46132</v>
      </c>
      <c r="C123" t="s">
        <v>44</v>
      </c>
      <c r="D123" t="s">
        <v>11</v>
      </c>
      <c r="E123" t="s">
        <v>32</v>
      </c>
      <c r="F123" t="str">
        <f>_xlfn.XLOOKUP(E123,Product_Lookup!$A$2:$A$14,Product_Lookup!$B$2:$B$14)</f>
        <v>Sofa</v>
      </c>
      <c r="G123" t="str">
        <f>_xlfn.XLOOKUP(Sales_Data!E123,Product_Lookup!$A$2:$A$14,Product_Lookup!$C$2:$C$14)</f>
        <v>Furniture</v>
      </c>
      <c r="H123">
        <f>_xlfn.XLOOKUP(E123,Product_Lookup!$A$2:$A$14,Product_Lookup!$D$2:$D$14)</f>
        <v>420</v>
      </c>
      <c r="I123">
        <v>4</v>
      </c>
      <c r="J123">
        <f t="shared" si="6"/>
        <v>1680</v>
      </c>
      <c r="K123" s="4">
        <v>0</v>
      </c>
      <c r="L123" s="7">
        <f t="shared" si="7"/>
        <v>0</v>
      </c>
      <c r="M123" s="7">
        <f t="shared" si="8"/>
        <v>1680</v>
      </c>
      <c r="N123" s="7">
        <f>_xlfn.XLOOKUP(E123,Product_Lookup!$A$2:$A$14,Product_Lookup!$E$2:$E$14)</f>
        <v>280</v>
      </c>
      <c r="O123" s="7">
        <f t="shared" si="9"/>
        <v>1120</v>
      </c>
      <c r="P123" s="7">
        <f t="shared" si="10"/>
        <v>560</v>
      </c>
      <c r="Q123" s="10">
        <f t="shared" si="11"/>
        <v>0.33333333333333331</v>
      </c>
      <c r="R123" t="s">
        <v>36</v>
      </c>
      <c r="S123" t="s">
        <v>33</v>
      </c>
    </row>
    <row r="124" spans="1:19">
      <c r="A124" t="s">
        <v>163</v>
      </c>
      <c r="B124" s="3">
        <v>46091</v>
      </c>
      <c r="C124" t="s">
        <v>29</v>
      </c>
      <c r="D124" t="s">
        <v>11</v>
      </c>
      <c r="E124" t="s">
        <v>30</v>
      </c>
      <c r="F124" t="str">
        <f>_xlfn.XLOOKUP(E124,Product_Lookup!$A$2:$A$14,Product_Lookup!$B$2:$B$14)</f>
        <v>Dining Chair</v>
      </c>
      <c r="G124" t="str">
        <f>_xlfn.XLOOKUP(Sales_Data!E124,Product_Lookup!$A$2:$A$14,Product_Lookup!$C$2:$C$14)</f>
        <v>Furniture</v>
      </c>
      <c r="H124">
        <f>_xlfn.XLOOKUP(E124,Product_Lookup!$A$2:$A$14,Product_Lookup!$D$2:$D$14)</f>
        <v>95</v>
      </c>
      <c r="I124">
        <v>7</v>
      </c>
      <c r="J124">
        <f t="shared" si="6"/>
        <v>665</v>
      </c>
      <c r="K124" s="4">
        <v>0</v>
      </c>
      <c r="L124" s="7">
        <f t="shared" si="7"/>
        <v>0</v>
      </c>
      <c r="M124" s="7">
        <f t="shared" si="8"/>
        <v>665</v>
      </c>
      <c r="N124" s="7">
        <f>_xlfn.XLOOKUP(E124,Product_Lookup!$A$2:$A$14,Product_Lookup!$E$2:$E$14)</f>
        <v>54</v>
      </c>
      <c r="O124" s="7">
        <f t="shared" si="9"/>
        <v>378</v>
      </c>
      <c r="P124" s="7">
        <f t="shared" si="10"/>
        <v>287</v>
      </c>
      <c r="Q124" s="10">
        <f t="shared" si="11"/>
        <v>0.43157894736842106</v>
      </c>
      <c r="R124" t="s">
        <v>13</v>
      </c>
      <c r="S124" t="s">
        <v>18</v>
      </c>
    </row>
    <row r="125" spans="1:19">
      <c r="A125" t="s">
        <v>164</v>
      </c>
      <c r="B125" s="3">
        <v>46037</v>
      </c>
      <c r="C125" t="s">
        <v>38</v>
      </c>
      <c r="D125" t="s">
        <v>16</v>
      </c>
      <c r="E125" t="s">
        <v>98</v>
      </c>
      <c r="F125" t="str">
        <f>_xlfn.XLOOKUP(E125,Product_Lookup!$A$2:$A$14,Product_Lookup!$B$2:$B$14)</f>
        <v>Blender</v>
      </c>
      <c r="G125" t="str">
        <f>_xlfn.XLOOKUP(Sales_Data!E125,Product_Lookup!$A$2:$A$14,Product_Lookup!$C$2:$C$14)</f>
        <v>Kitchenware</v>
      </c>
      <c r="H125">
        <f>_xlfn.XLOOKUP(E125,Product_Lookup!$A$2:$A$14,Product_Lookup!$D$2:$D$14)</f>
        <v>75</v>
      </c>
      <c r="I125">
        <v>3</v>
      </c>
      <c r="J125">
        <f t="shared" si="6"/>
        <v>225</v>
      </c>
      <c r="K125" s="4">
        <v>0.1</v>
      </c>
      <c r="L125" s="7">
        <f t="shared" si="7"/>
        <v>22.5</v>
      </c>
      <c r="M125" s="7">
        <f t="shared" si="8"/>
        <v>202.5</v>
      </c>
      <c r="N125" s="7">
        <f>_xlfn.XLOOKUP(E125,Product_Lookup!$A$2:$A$14,Product_Lookup!$E$2:$E$14)</f>
        <v>43</v>
      </c>
      <c r="O125" s="7">
        <f t="shared" si="9"/>
        <v>129</v>
      </c>
      <c r="P125" s="7">
        <f t="shared" si="10"/>
        <v>73.5</v>
      </c>
      <c r="Q125" s="10">
        <f t="shared" si="11"/>
        <v>0.36296296296296299</v>
      </c>
      <c r="R125" t="s">
        <v>13</v>
      </c>
      <c r="S125" t="s">
        <v>14</v>
      </c>
    </row>
    <row r="126" spans="1:19">
      <c r="A126" t="s">
        <v>165</v>
      </c>
      <c r="B126" s="3">
        <v>46102</v>
      </c>
      <c r="C126" t="s">
        <v>44</v>
      </c>
      <c r="D126" t="s">
        <v>20</v>
      </c>
      <c r="E126" t="s">
        <v>12</v>
      </c>
      <c r="F126" t="str">
        <f>_xlfn.XLOOKUP(E126,Product_Lookup!$A$2:$A$14,Product_Lookup!$B$2:$B$14)</f>
        <v>Desk</v>
      </c>
      <c r="G126" t="str">
        <f>_xlfn.XLOOKUP(Sales_Data!E126,Product_Lookup!$A$2:$A$14,Product_Lookup!$C$2:$C$14)</f>
        <v>Furniture</v>
      </c>
      <c r="H126">
        <f>_xlfn.XLOOKUP(E126,Product_Lookup!$A$2:$A$14,Product_Lookup!$D$2:$D$14)</f>
        <v>210</v>
      </c>
      <c r="I126">
        <v>4</v>
      </c>
      <c r="J126">
        <f t="shared" si="6"/>
        <v>840</v>
      </c>
      <c r="K126" s="4">
        <v>0.05</v>
      </c>
      <c r="L126" s="7">
        <f t="shared" si="7"/>
        <v>42</v>
      </c>
      <c r="M126" s="7">
        <f t="shared" si="8"/>
        <v>798</v>
      </c>
      <c r="N126" s="7">
        <f>_xlfn.XLOOKUP(E126,Product_Lookup!$A$2:$A$14,Product_Lookup!$E$2:$E$14)</f>
        <v>132</v>
      </c>
      <c r="O126" s="7">
        <f t="shared" si="9"/>
        <v>528</v>
      </c>
      <c r="P126" s="7">
        <f t="shared" si="10"/>
        <v>270</v>
      </c>
      <c r="Q126" s="10">
        <f t="shared" si="11"/>
        <v>0.33834586466165412</v>
      </c>
      <c r="R126" t="s">
        <v>13</v>
      </c>
      <c r="S126" t="s">
        <v>22</v>
      </c>
    </row>
    <row r="127" spans="1:19">
      <c r="A127" t="s">
        <v>166</v>
      </c>
      <c r="B127" s="3">
        <v>46119</v>
      </c>
      <c r="C127" t="s">
        <v>10</v>
      </c>
      <c r="D127" t="s">
        <v>16</v>
      </c>
      <c r="E127" t="s">
        <v>41</v>
      </c>
      <c r="F127" t="str">
        <f>_xlfn.XLOOKUP(E127,Product_Lookup!$A$2:$A$14,Product_Lookup!$B$2:$B$14)</f>
        <v>Floor Lamp</v>
      </c>
      <c r="G127" t="str">
        <f>_xlfn.XLOOKUP(Sales_Data!E127,Product_Lookup!$A$2:$A$14,Product_Lookup!$C$2:$C$14)</f>
        <v>Lighting</v>
      </c>
      <c r="H127">
        <f>_xlfn.XLOOKUP(E127,Product_Lookup!$A$2:$A$14,Product_Lookup!$D$2:$D$14)</f>
        <v>125</v>
      </c>
      <c r="I127">
        <v>6</v>
      </c>
      <c r="J127">
        <f t="shared" si="6"/>
        <v>750</v>
      </c>
      <c r="K127" s="4">
        <v>0.2</v>
      </c>
      <c r="L127" s="7">
        <f t="shared" si="7"/>
        <v>150</v>
      </c>
      <c r="M127" s="7">
        <f t="shared" si="8"/>
        <v>600</v>
      </c>
      <c r="N127" s="7">
        <f>_xlfn.XLOOKUP(E127,Product_Lookup!$A$2:$A$14,Product_Lookup!$E$2:$E$14)</f>
        <v>73</v>
      </c>
      <c r="O127" s="7">
        <f t="shared" si="9"/>
        <v>438</v>
      </c>
      <c r="P127" s="7">
        <f t="shared" si="10"/>
        <v>162</v>
      </c>
      <c r="Q127" s="10">
        <f t="shared" si="11"/>
        <v>0.27</v>
      </c>
      <c r="R127" t="s">
        <v>36</v>
      </c>
      <c r="S127" t="s">
        <v>33</v>
      </c>
    </row>
    <row r="128" spans="1:19">
      <c r="A128" t="s">
        <v>167</v>
      </c>
      <c r="B128" s="3">
        <v>46177</v>
      </c>
      <c r="C128" t="s">
        <v>10</v>
      </c>
      <c r="D128" t="s">
        <v>16</v>
      </c>
      <c r="E128" t="s">
        <v>54</v>
      </c>
      <c r="F128" t="str">
        <f>_xlfn.XLOOKUP(E128,Product_Lookup!$A$2:$A$14,Product_Lookup!$B$2:$B$14)</f>
        <v>Wall Mirror</v>
      </c>
      <c r="G128" t="str">
        <f>_xlfn.XLOOKUP(Sales_Data!E128,Product_Lookup!$A$2:$A$14,Product_Lookup!$C$2:$C$14)</f>
        <v>Home Accessories</v>
      </c>
      <c r="H128">
        <f>_xlfn.XLOOKUP(E128,Product_Lookup!$A$2:$A$14,Product_Lookup!$D$2:$D$14)</f>
        <v>85</v>
      </c>
      <c r="I128">
        <v>4</v>
      </c>
      <c r="J128">
        <f t="shared" si="6"/>
        <v>340</v>
      </c>
      <c r="K128" s="4">
        <v>0.05</v>
      </c>
      <c r="L128" s="7">
        <f t="shared" si="7"/>
        <v>17</v>
      </c>
      <c r="M128" s="7">
        <f t="shared" si="8"/>
        <v>323</v>
      </c>
      <c r="N128" s="7">
        <f>_xlfn.XLOOKUP(E128,Product_Lookup!$A$2:$A$14,Product_Lookup!$E$2:$E$14)</f>
        <v>41</v>
      </c>
      <c r="O128" s="7">
        <f t="shared" si="9"/>
        <v>164</v>
      </c>
      <c r="P128" s="7">
        <f t="shared" si="10"/>
        <v>159</v>
      </c>
      <c r="Q128" s="10">
        <f t="shared" si="11"/>
        <v>0.49226006191950467</v>
      </c>
      <c r="R128" t="s">
        <v>13</v>
      </c>
      <c r="S128" t="s">
        <v>39</v>
      </c>
    </row>
    <row r="129" spans="1:19">
      <c r="A129" t="s">
        <v>168</v>
      </c>
      <c r="B129" s="3">
        <v>46142</v>
      </c>
      <c r="C129" t="s">
        <v>44</v>
      </c>
      <c r="D129" t="s">
        <v>16</v>
      </c>
      <c r="E129" t="s">
        <v>30</v>
      </c>
      <c r="F129" t="str">
        <f>_xlfn.XLOOKUP(E129,Product_Lookup!$A$2:$A$14,Product_Lookup!$B$2:$B$14)</f>
        <v>Dining Chair</v>
      </c>
      <c r="G129" t="str">
        <f>_xlfn.XLOOKUP(Sales_Data!E129,Product_Lookup!$A$2:$A$14,Product_Lookup!$C$2:$C$14)</f>
        <v>Furniture</v>
      </c>
      <c r="H129">
        <f>_xlfn.XLOOKUP(E129,Product_Lookup!$A$2:$A$14,Product_Lookup!$D$2:$D$14)</f>
        <v>95</v>
      </c>
      <c r="I129">
        <v>6</v>
      </c>
      <c r="J129">
        <f t="shared" si="6"/>
        <v>570</v>
      </c>
      <c r="K129" s="4">
        <v>0.15</v>
      </c>
      <c r="L129" s="7">
        <f t="shared" si="7"/>
        <v>85.5</v>
      </c>
      <c r="M129" s="7">
        <f t="shared" si="8"/>
        <v>484.5</v>
      </c>
      <c r="N129" s="7">
        <f>_xlfn.XLOOKUP(E129,Product_Lookup!$A$2:$A$14,Product_Lookup!$E$2:$E$14)</f>
        <v>54</v>
      </c>
      <c r="O129" s="7">
        <f t="shared" si="9"/>
        <v>324</v>
      </c>
      <c r="P129" s="7">
        <f t="shared" si="10"/>
        <v>160.5</v>
      </c>
      <c r="Q129" s="10">
        <f t="shared" si="11"/>
        <v>0.33126934984520123</v>
      </c>
      <c r="R129" t="s">
        <v>13</v>
      </c>
      <c r="S129" t="s">
        <v>39</v>
      </c>
    </row>
    <row r="130" spans="1:19">
      <c r="A130" t="s">
        <v>169</v>
      </c>
      <c r="B130" s="3">
        <v>46036</v>
      </c>
      <c r="C130" t="s">
        <v>38</v>
      </c>
      <c r="D130" t="s">
        <v>16</v>
      </c>
      <c r="E130" t="s">
        <v>32</v>
      </c>
      <c r="F130" t="str">
        <f>_xlfn.XLOOKUP(E130,Product_Lookup!$A$2:$A$14,Product_Lookup!$B$2:$B$14)</f>
        <v>Sofa</v>
      </c>
      <c r="G130" t="str">
        <f>_xlfn.XLOOKUP(Sales_Data!E130,Product_Lookup!$A$2:$A$14,Product_Lookup!$C$2:$C$14)</f>
        <v>Furniture</v>
      </c>
      <c r="H130">
        <f>_xlfn.XLOOKUP(E130,Product_Lookup!$A$2:$A$14,Product_Lookup!$D$2:$D$14)</f>
        <v>420</v>
      </c>
      <c r="I130">
        <v>2</v>
      </c>
      <c r="J130">
        <f t="shared" si="6"/>
        <v>840</v>
      </c>
      <c r="K130" s="4">
        <v>0</v>
      </c>
      <c r="L130" s="7">
        <f t="shared" si="7"/>
        <v>0</v>
      </c>
      <c r="M130" s="7">
        <f t="shared" si="8"/>
        <v>840</v>
      </c>
      <c r="N130" s="7">
        <f>_xlfn.XLOOKUP(E130,Product_Lookup!$A$2:$A$14,Product_Lookup!$E$2:$E$14)</f>
        <v>280</v>
      </c>
      <c r="O130" s="7">
        <f t="shared" si="9"/>
        <v>560</v>
      </c>
      <c r="P130" s="7">
        <f t="shared" si="10"/>
        <v>280</v>
      </c>
      <c r="Q130" s="10">
        <f t="shared" si="11"/>
        <v>0.33333333333333331</v>
      </c>
      <c r="R130" t="s">
        <v>13</v>
      </c>
      <c r="S130" t="s">
        <v>14</v>
      </c>
    </row>
    <row r="131" spans="1:19">
      <c r="A131" t="s">
        <v>170</v>
      </c>
      <c r="B131" s="3">
        <v>46035</v>
      </c>
      <c r="C131" t="s">
        <v>44</v>
      </c>
      <c r="D131" t="s">
        <v>16</v>
      </c>
      <c r="E131" t="s">
        <v>67</v>
      </c>
      <c r="F131" t="str">
        <f>_xlfn.XLOOKUP(E131,Product_Lookup!$A$2:$A$14,Product_Lookup!$B$2:$B$14)</f>
        <v>Rug</v>
      </c>
      <c r="G131" t="str">
        <f>_xlfn.XLOOKUP(Sales_Data!E131,Product_Lookup!$A$2:$A$14,Product_Lookup!$C$2:$C$14)</f>
        <v>Home Accessories</v>
      </c>
      <c r="H131">
        <f>_xlfn.XLOOKUP(E131,Product_Lookup!$A$2:$A$14,Product_Lookup!$D$2:$D$14)</f>
        <v>145</v>
      </c>
      <c r="I131">
        <v>7</v>
      </c>
      <c r="J131">
        <f t="shared" ref="J131:J194" si="12">H131*I131</f>
        <v>1015</v>
      </c>
      <c r="K131" s="4">
        <v>0</v>
      </c>
      <c r="L131" s="7">
        <f t="shared" ref="L131:L194" si="13">J131*K131</f>
        <v>0</v>
      </c>
      <c r="M131" s="7">
        <f t="shared" ref="M131:M194" si="14">J131-L131</f>
        <v>1015</v>
      </c>
      <c r="N131" s="7">
        <f>_xlfn.XLOOKUP(E131,Product_Lookup!$A$2:$A$14,Product_Lookup!$E$2:$E$14)</f>
        <v>88</v>
      </c>
      <c r="O131" s="7">
        <f t="shared" ref="O131:O194" si="15">N131*I131</f>
        <v>616</v>
      </c>
      <c r="P131" s="7">
        <f t="shared" ref="P131:P194" si="16">M131-O131</f>
        <v>399</v>
      </c>
      <c r="Q131" s="10">
        <f t="shared" ref="Q131:Q194" si="17">P131/M131</f>
        <v>0.39310344827586208</v>
      </c>
      <c r="R131" t="s">
        <v>13</v>
      </c>
      <c r="S131" t="s">
        <v>42</v>
      </c>
    </row>
    <row r="132" spans="1:19">
      <c r="A132" t="s">
        <v>171</v>
      </c>
      <c r="B132" s="3">
        <v>46198</v>
      </c>
      <c r="C132" t="s">
        <v>10</v>
      </c>
      <c r="D132" t="s">
        <v>11</v>
      </c>
      <c r="E132" t="s">
        <v>98</v>
      </c>
      <c r="F132" t="str">
        <f>_xlfn.XLOOKUP(E132,Product_Lookup!$A$2:$A$14,Product_Lookup!$B$2:$B$14)</f>
        <v>Blender</v>
      </c>
      <c r="G132" t="str">
        <f>_xlfn.XLOOKUP(Sales_Data!E132,Product_Lookup!$A$2:$A$14,Product_Lookup!$C$2:$C$14)</f>
        <v>Kitchenware</v>
      </c>
      <c r="H132">
        <f>_xlfn.XLOOKUP(E132,Product_Lookup!$A$2:$A$14,Product_Lookup!$D$2:$D$14)</f>
        <v>75</v>
      </c>
      <c r="I132">
        <v>1</v>
      </c>
      <c r="J132">
        <f t="shared" si="12"/>
        <v>75</v>
      </c>
      <c r="K132" s="4">
        <v>0</v>
      </c>
      <c r="L132" s="7">
        <f t="shared" si="13"/>
        <v>0</v>
      </c>
      <c r="M132" s="7">
        <f t="shared" si="14"/>
        <v>75</v>
      </c>
      <c r="N132" s="7">
        <f>_xlfn.XLOOKUP(E132,Product_Lookup!$A$2:$A$14,Product_Lookup!$E$2:$E$14)</f>
        <v>43</v>
      </c>
      <c r="O132" s="7">
        <f t="shared" si="15"/>
        <v>43</v>
      </c>
      <c r="P132" s="7">
        <f t="shared" si="16"/>
        <v>32</v>
      </c>
      <c r="Q132" s="10">
        <f t="shared" si="17"/>
        <v>0.42666666666666669</v>
      </c>
      <c r="R132" t="s">
        <v>13</v>
      </c>
      <c r="S132" t="s">
        <v>48</v>
      </c>
    </row>
    <row r="133" spans="1:19">
      <c r="A133" t="s">
        <v>172</v>
      </c>
      <c r="B133" s="3">
        <v>46109</v>
      </c>
      <c r="C133" t="s">
        <v>10</v>
      </c>
      <c r="D133" t="s">
        <v>16</v>
      </c>
      <c r="E133" t="s">
        <v>98</v>
      </c>
      <c r="F133" t="str">
        <f>_xlfn.XLOOKUP(E133,Product_Lookup!$A$2:$A$14,Product_Lookup!$B$2:$B$14)</f>
        <v>Blender</v>
      </c>
      <c r="G133" t="str">
        <f>_xlfn.XLOOKUP(Sales_Data!E133,Product_Lookup!$A$2:$A$14,Product_Lookup!$C$2:$C$14)</f>
        <v>Kitchenware</v>
      </c>
      <c r="H133">
        <f>_xlfn.XLOOKUP(E133,Product_Lookup!$A$2:$A$14,Product_Lookup!$D$2:$D$14)</f>
        <v>75</v>
      </c>
      <c r="I133">
        <v>3</v>
      </c>
      <c r="J133">
        <f t="shared" si="12"/>
        <v>225</v>
      </c>
      <c r="K133" s="4">
        <v>0.05</v>
      </c>
      <c r="L133" s="7">
        <f t="shared" si="13"/>
        <v>11.25</v>
      </c>
      <c r="M133" s="7">
        <f t="shared" si="14"/>
        <v>213.75</v>
      </c>
      <c r="N133" s="7">
        <f>_xlfn.XLOOKUP(E133,Product_Lookup!$A$2:$A$14,Product_Lookup!$E$2:$E$14)</f>
        <v>43</v>
      </c>
      <c r="O133" s="7">
        <f t="shared" si="15"/>
        <v>129</v>
      </c>
      <c r="P133" s="7">
        <f t="shared" si="16"/>
        <v>84.75</v>
      </c>
      <c r="Q133" s="10">
        <f t="shared" si="17"/>
        <v>0.39649122807017545</v>
      </c>
      <c r="R133" t="s">
        <v>21</v>
      </c>
      <c r="S133" t="s">
        <v>18</v>
      </c>
    </row>
    <row r="134" spans="1:19">
      <c r="A134" t="s">
        <v>173</v>
      </c>
      <c r="B134" s="3">
        <v>46200</v>
      </c>
      <c r="C134" t="s">
        <v>10</v>
      </c>
      <c r="D134" t="s">
        <v>20</v>
      </c>
      <c r="E134" t="s">
        <v>32</v>
      </c>
      <c r="F134" t="str">
        <f>_xlfn.XLOOKUP(E134,Product_Lookup!$A$2:$A$14,Product_Lookup!$B$2:$B$14)</f>
        <v>Sofa</v>
      </c>
      <c r="G134" t="str">
        <f>_xlfn.XLOOKUP(Sales_Data!E134,Product_Lookup!$A$2:$A$14,Product_Lookup!$C$2:$C$14)</f>
        <v>Furniture</v>
      </c>
      <c r="H134">
        <f>_xlfn.XLOOKUP(E134,Product_Lookup!$A$2:$A$14,Product_Lookup!$D$2:$D$14)</f>
        <v>420</v>
      </c>
      <c r="I134">
        <v>3</v>
      </c>
      <c r="J134">
        <f t="shared" si="12"/>
        <v>1260</v>
      </c>
      <c r="K134" s="4">
        <v>0.1</v>
      </c>
      <c r="L134" s="7">
        <f t="shared" si="13"/>
        <v>126</v>
      </c>
      <c r="M134" s="7">
        <f t="shared" si="14"/>
        <v>1134</v>
      </c>
      <c r="N134" s="7">
        <f>_xlfn.XLOOKUP(E134,Product_Lookup!$A$2:$A$14,Product_Lookup!$E$2:$E$14)</f>
        <v>280</v>
      </c>
      <c r="O134" s="7">
        <f t="shared" si="15"/>
        <v>840</v>
      </c>
      <c r="P134" s="7">
        <f t="shared" si="16"/>
        <v>294</v>
      </c>
      <c r="Q134" s="10">
        <f t="shared" si="17"/>
        <v>0.25925925925925924</v>
      </c>
      <c r="R134" t="s">
        <v>13</v>
      </c>
      <c r="S134" t="s">
        <v>18</v>
      </c>
    </row>
    <row r="135" spans="1:19">
      <c r="A135" t="s">
        <v>174</v>
      </c>
      <c r="B135" s="3">
        <v>46116</v>
      </c>
      <c r="C135" t="s">
        <v>38</v>
      </c>
      <c r="D135" t="s">
        <v>16</v>
      </c>
      <c r="E135" t="s">
        <v>30</v>
      </c>
      <c r="F135" t="str">
        <f>_xlfn.XLOOKUP(E135,Product_Lookup!$A$2:$A$14,Product_Lookup!$B$2:$B$14)</f>
        <v>Dining Chair</v>
      </c>
      <c r="G135" t="str">
        <f>_xlfn.XLOOKUP(Sales_Data!E135,Product_Lookup!$A$2:$A$14,Product_Lookup!$C$2:$C$14)</f>
        <v>Furniture</v>
      </c>
      <c r="H135">
        <f>_xlfn.XLOOKUP(E135,Product_Lookup!$A$2:$A$14,Product_Lookup!$D$2:$D$14)</f>
        <v>95</v>
      </c>
      <c r="I135">
        <v>1</v>
      </c>
      <c r="J135">
        <f t="shared" si="12"/>
        <v>95</v>
      </c>
      <c r="K135" s="4">
        <v>0.05</v>
      </c>
      <c r="L135" s="7">
        <f t="shared" si="13"/>
        <v>4.75</v>
      </c>
      <c r="M135" s="7">
        <f t="shared" si="14"/>
        <v>90.25</v>
      </c>
      <c r="N135" s="7">
        <f>_xlfn.XLOOKUP(E135,Product_Lookup!$A$2:$A$14,Product_Lookup!$E$2:$E$14)</f>
        <v>54</v>
      </c>
      <c r="O135" s="7">
        <f t="shared" si="15"/>
        <v>54</v>
      </c>
      <c r="P135" s="7">
        <f t="shared" si="16"/>
        <v>36.25</v>
      </c>
      <c r="Q135" s="10">
        <f t="shared" si="17"/>
        <v>0.40166204986149584</v>
      </c>
      <c r="R135" t="s">
        <v>13</v>
      </c>
      <c r="S135" t="s">
        <v>42</v>
      </c>
    </row>
    <row r="136" spans="1:19">
      <c r="A136" t="s">
        <v>175</v>
      </c>
      <c r="B136" s="3">
        <v>46197</v>
      </c>
      <c r="C136" t="s">
        <v>24</v>
      </c>
      <c r="D136" t="s">
        <v>16</v>
      </c>
      <c r="E136" t="s">
        <v>54</v>
      </c>
      <c r="F136" t="str">
        <f>_xlfn.XLOOKUP(E136,Product_Lookup!$A$2:$A$14,Product_Lookup!$B$2:$B$14)</f>
        <v>Wall Mirror</v>
      </c>
      <c r="G136" t="str">
        <f>_xlfn.XLOOKUP(Sales_Data!E136,Product_Lookup!$A$2:$A$14,Product_Lookup!$C$2:$C$14)</f>
        <v>Home Accessories</v>
      </c>
      <c r="H136">
        <f>_xlfn.XLOOKUP(E136,Product_Lookup!$A$2:$A$14,Product_Lookup!$D$2:$D$14)</f>
        <v>85</v>
      </c>
      <c r="I136">
        <v>3</v>
      </c>
      <c r="J136">
        <f t="shared" si="12"/>
        <v>255</v>
      </c>
      <c r="K136" s="4">
        <v>0.05</v>
      </c>
      <c r="L136" s="7">
        <f t="shared" si="13"/>
        <v>12.75</v>
      </c>
      <c r="M136" s="7">
        <f t="shared" si="14"/>
        <v>242.25</v>
      </c>
      <c r="N136" s="7">
        <f>_xlfn.XLOOKUP(E136,Product_Lookup!$A$2:$A$14,Product_Lookup!$E$2:$E$14)</f>
        <v>41</v>
      </c>
      <c r="O136" s="7">
        <f t="shared" si="15"/>
        <v>123</v>
      </c>
      <c r="P136" s="7">
        <f t="shared" si="16"/>
        <v>119.25</v>
      </c>
      <c r="Q136" s="10">
        <f t="shared" si="17"/>
        <v>0.49226006191950467</v>
      </c>
      <c r="R136" t="s">
        <v>13</v>
      </c>
      <c r="S136" t="s">
        <v>22</v>
      </c>
    </row>
    <row r="137" spans="1:19">
      <c r="A137" t="s">
        <v>176</v>
      </c>
      <c r="B137" s="3">
        <v>46034</v>
      </c>
      <c r="C137" t="s">
        <v>10</v>
      </c>
      <c r="D137" t="s">
        <v>16</v>
      </c>
      <c r="E137" t="s">
        <v>45</v>
      </c>
      <c r="F137" t="str">
        <f>_xlfn.XLOOKUP(E137,Product_Lookup!$A$2:$A$14,Product_Lookup!$B$2:$B$14)</f>
        <v>Cushion Set</v>
      </c>
      <c r="G137" t="str">
        <f>_xlfn.XLOOKUP(Sales_Data!E137,Product_Lookup!$A$2:$A$14,Product_Lookup!$C$2:$C$14)</f>
        <v>Home Accessories</v>
      </c>
      <c r="H137">
        <f>_xlfn.XLOOKUP(E137,Product_Lookup!$A$2:$A$14,Product_Lookup!$D$2:$D$14)</f>
        <v>32</v>
      </c>
      <c r="I137">
        <v>1</v>
      </c>
      <c r="J137">
        <f t="shared" si="12"/>
        <v>32</v>
      </c>
      <c r="K137" s="4">
        <v>0.05</v>
      </c>
      <c r="L137" s="7">
        <f t="shared" si="13"/>
        <v>1.6</v>
      </c>
      <c r="M137" s="7">
        <f t="shared" si="14"/>
        <v>30.4</v>
      </c>
      <c r="N137" s="7">
        <f>_xlfn.XLOOKUP(E137,Product_Lookup!$A$2:$A$14,Product_Lookup!$E$2:$E$14)</f>
        <v>14</v>
      </c>
      <c r="O137" s="7">
        <f t="shared" si="15"/>
        <v>14</v>
      </c>
      <c r="P137" s="7">
        <f t="shared" si="16"/>
        <v>16.399999999999999</v>
      </c>
      <c r="Q137" s="10">
        <f t="shared" si="17"/>
        <v>0.53947368421052633</v>
      </c>
      <c r="R137" t="s">
        <v>13</v>
      </c>
      <c r="S137" t="s">
        <v>18</v>
      </c>
    </row>
    <row r="138" spans="1:19">
      <c r="A138" t="s">
        <v>177</v>
      </c>
      <c r="B138" s="3">
        <v>46159</v>
      </c>
      <c r="C138" t="s">
        <v>29</v>
      </c>
      <c r="D138" t="s">
        <v>20</v>
      </c>
      <c r="E138" t="s">
        <v>30</v>
      </c>
      <c r="F138" t="str">
        <f>_xlfn.XLOOKUP(E138,Product_Lookup!$A$2:$A$14,Product_Lookup!$B$2:$B$14)</f>
        <v>Dining Chair</v>
      </c>
      <c r="G138" t="str">
        <f>_xlfn.XLOOKUP(Sales_Data!E138,Product_Lookup!$A$2:$A$14,Product_Lookup!$C$2:$C$14)</f>
        <v>Furniture</v>
      </c>
      <c r="H138">
        <f>_xlfn.XLOOKUP(E138,Product_Lookup!$A$2:$A$14,Product_Lookup!$D$2:$D$14)</f>
        <v>95</v>
      </c>
      <c r="I138">
        <v>5</v>
      </c>
      <c r="J138">
        <f t="shared" si="12"/>
        <v>475</v>
      </c>
      <c r="K138" s="4">
        <v>0</v>
      </c>
      <c r="L138" s="7">
        <f t="shared" si="13"/>
        <v>0</v>
      </c>
      <c r="M138" s="7">
        <f t="shared" si="14"/>
        <v>475</v>
      </c>
      <c r="N138" s="7">
        <f>_xlfn.XLOOKUP(E138,Product_Lookup!$A$2:$A$14,Product_Lookup!$E$2:$E$14)</f>
        <v>54</v>
      </c>
      <c r="O138" s="7">
        <f t="shared" si="15"/>
        <v>270</v>
      </c>
      <c r="P138" s="7">
        <f t="shared" si="16"/>
        <v>205</v>
      </c>
      <c r="Q138" s="10">
        <f t="shared" si="17"/>
        <v>0.43157894736842106</v>
      </c>
      <c r="R138" t="s">
        <v>13</v>
      </c>
      <c r="S138" t="s">
        <v>14</v>
      </c>
    </row>
    <row r="139" spans="1:19">
      <c r="A139" t="s">
        <v>178</v>
      </c>
      <c r="B139" s="3">
        <v>46070</v>
      </c>
      <c r="C139" t="s">
        <v>29</v>
      </c>
      <c r="D139" t="s">
        <v>11</v>
      </c>
      <c r="E139" t="s">
        <v>32</v>
      </c>
      <c r="F139" t="str">
        <f>_xlfn.XLOOKUP(E139,Product_Lookup!$A$2:$A$14,Product_Lookup!$B$2:$B$14)</f>
        <v>Sofa</v>
      </c>
      <c r="G139" t="str">
        <f>_xlfn.XLOOKUP(Sales_Data!E139,Product_Lookup!$A$2:$A$14,Product_Lookup!$C$2:$C$14)</f>
        <v>Furniture</v>
      </c>
      <c r="H139">
        <f>_xlfn.XLOOKUP(E139,Product_Lookup!$A$2:$A$14,Product_Lookup!$D$2:$D$14)</f>
        <v>420</v>
      </c>
      <c r="I139">
        <v>1</v>
      </c>
      <c r="J139">
        <f t="shared" si="12"/>
        <v>420</v>
      </c>
      <c r="K139" s="4">
        <v>0.05</v>
      </c>
      <c r="L139" s="7">
        <f t="shared" si="13"/>
        <v>21</v>
      </c>
      <c r="M139" s="7">
        <f t="shared" si="14"/>
        <v>399</v>
      </c>
      <c r="N139" s="7">
        <f>_xlfn.XLOOKUP(E139,Product_Lookup!$A$2:$A$14,Product_Lookup!$E$2:$E$14)</f>
        <v>280</v>
      </c>
      <c r="O139" s="7">
        <f t="shared" si="15"/>
        <v>280</v>
      </c>
      <c r="P139" s="7">
        <f t="shared" si="16"/>
        <v>119</v>
      </c>
      <c r="Q139" s="10">
        <f t="shared" si="17"/>
        <v>0.2982456140350877</v>
      </c>
      <c r="R139" t="s">
        <v>13</v>
      </c>
      <c r="S139" t="s">
        <v>18</v>
      </c>
    </row>
    <row r="140" spans="1:19">
      <c r="A140" t="s">
        <v>179</v>
      </c>
      <c r="B140" s="3">
        <v>46198</v>
      </c>
      <c r="C140" t="s">
        <v>38</v>
      </c>
      <c r="D140" t="s">
        <v>20</v>
      </c>
      <c r="E140" t="s">
        <v>98</v>
      </c>
      <c r="F140" t="str">
        <f>_xlfn.XLOOKUP(E140,Product_Lookup!$A$2:$A$14,Product_Lookup!$B$2:$B$14)</f>
        <v>Blender</v>
      </c>
      <c r="G140" t="str">
        <f>_xlfn.XLOOKUP(Sales_Data!E140,Product_Lookup!$A$2:$A$14,Product_Lookup!$C$2:$C$14)</f>
        <v>Kitchenware</v>
      </c>
      <c r="H140">
        <f>_xlfn.XLOOKUP(E140,Product_Lookup!$A$2:$A$14,Product_Lookup!$D$2:$D$14)</f>
        <v>75</v>
      </c>
      <c r="I140">
        <v>2</v>
      </c>
      <c r="J140">
        <f t="shared" si="12"/>
        <v>150</v>
      </c>
      <c r="K140" s="4">
        <v>0</v>
      </c>
      <c r="L140" s="7">
        <f t="shared" si="13"/>
        <v>0</v>
      </c>
      <c r="M140" s="7">
        <f t="shared" si="14"/>
        <v>150</v>
      </c>
      <c r="N140" s="7">
        <f>_xlfn.XLOOKUP(E140,Product_Lookup!$A$2:$A$14,Product_Lookup!$E$2:$E$14)</f>
        <v>43</v>
      </c>
      <c r="O140" s="7">
        <f t="shared" si="15"/>
        <v>86</v>
      </c>
      <c r="P140" s="7">
        <f t="shared" si="16"/>
        <v>64</v>
      </c>
      <c r="Q140" s="10">
        <f t="shared" si="17"/>
        <v>0.42666666666666669</v>
      </c>
      <c r="R140" t="s">
        <v>13</v>
      </c>
      <c r="S140" t="s">
        <v>18</v>
      </c>
    </row>
    <row r="141" spans="1:19">
      <c r="A141" t="s">
        <v>180</v>
      </c>
      <c r="B141" s="3">
        <v>46179</v>
      </c>
      <c r="C141" t="s">
        <v>29</v>
      </c>
      <c r="D141" t="s">
        <v>11</v>
      </c>
      <c r="E141" t="s">
        <v>12</v>
      </c>
      <c r="F141" t="str">
        <f>_xlfn.XLOOKUP(E141,Product_Lookup!$A$2:$A$14,Product_Lookup!$B$2:$B$14)</f>
        <v>Desk</v>
      </c>
      <c r="G141" t="str">
        <f>_xlfn.XLOOKUP(Sales_Data!E141,Product_Lookup!$A$2:$A$14,Product_Lookup!$C$2:$C$14)</f>
        <v>Furniture</v>
      </c>
      <c r="H141">
        <f>_xlfn.XLOOKUP(E141,Product_Lookup!$A$2:$A$14,Product_Lookup!$D$2:$D$14)</f>
        <v>210</v>
      </c>
      <c r="I141">
        <v>7</v>
      </c>
      <c r="J141">
        <f t="shared" si="12"/>
        <v>1470</v>
      </c>
      <c r="K141" s="4">
        <v>0.05</v>
      </c>
      <c r="L141" s="7">
        <f t="shared" si="13"/>
        <v>73.5</v>
      </c>
      <c r="M141" s="7">
        <f t="shared" si="14"/>
        <v>1396.5</v>
      </c>
      <c r="N141" s="7">
        <f>_xlfn.XLOOKUP(E141,Product_Lookup!$A$2:$A$14,Product_Lookup!$E$2:$E$14)</f>
        <v>132</v>
      </c>
      <c r="O141" s="7">
        <f t="shared" si="15"/>
        <v>924</v>
      </c>
      <c r="P141" s="7">
        <f t="shared" si="16"/>
        <v>472.5</v>
      </c>
      <c r="Q141" s="10">
        <f t="shared" si="17"/>
        <v>0.33834586466165412</v>
      </c>
      <c r="R141" t="s">
        <v>21</v>
      </c>
      <c r="S141" t="s">
        <v>22</v>
      </c>
    </row>
    <row r="142" spans="1:19">
      <c r="A142" t="s">
        <v>181</v>
      </c>
      <c r="B142" s="3">
        <v>46065</v>
      </c>
      <c r="C142" t="s">
        <v>29</v>
      </c>
      <c r="D142" t="s">
        <v>11</v>
      </c>
      <c r="E142" t="s">
        <v>32</v>
      </c>
      <c r="F142" t="str">
        <f>_xlfn.XLOOKUP(E142,Product_Lookup!$A$2:$A$14,Product_Lookup!$B$2:$B$14)</f>
        <v>Sofa</v>
      </c>
      <c r="G142" t="str">
        <f>_xlfn.XLOOKUP(Sales_Data!E142,Product_Lookup!$A$2:$A$14,Product_Lookup!$C$2:$C$14)</f>
        <v>Furniture</v>
      </c>
      <c r="H142">
        <f>_xlfn.XLOOKUP(E142,Product_Lookup!$A$2:$A$14,Product_Lookup!$D$2:$D$14)</f>
        <v>420</v>
      </c>
      <c r="I142">
        <v>6</v>
      </c>
      <c r="J142">
        <f t="shared" si="12"/>
        <v>2520</v>
      </c>
      <c r="K142" s="4">
        <v>0</v>
      </c>
      <c r="L142" s="7">
        <f t="shared" si="13"/>
        <v>0</v>
      </c>
      <c r="M142" s="7">
        <f t="shared" si="14"/>
        <v>2520</v>
      </c>
      <c r="N142" s="7">
        <f>_xlfn.XLOOKUP(E142,Product_Lookup!$A$2:$A$14,Product_Lookup!$E$2:$E$14)</f>
        <v>280</v>
      </c>
      <c r="O142" s="7">
        <f t="shared" si="15"/>
        <v>1680</v>
      </c>
      <c r="P142" s="7">
        <f t="shared" si="16"/>
        <v>840</v>
      </c>
      <c r="Q142" s="10">
        <f t="shared" si="17"/>
        <v>0.33333333333333331</v>
      </c>
      <c r="R142" t="s">
        <v>21</v>
      </c>
      <c r="S142" t="s">
        <v>14</v>
      </c>
    </row>
    <row r="143" spans="1:19">
      <c r="A143" t="s">
        <v>182</v>
      </c>
      <c r="B143" s="3">
        <v>46045</v>
      </c>
      <c r="C143" t="s">
        <v>38</v>
      </c>
      <c r="D143" t="s">
        <v>11</v>
      </c>
      <c r="E143" t="s">
        <v>67</v>
      </c>
      <c r="F143" t="str">
        <f>_xlfn.XLOOKUP(E143,Product_Lookup!$A$2:$A$14,Product_Lookup!$B$2:$B$14)</f>
        <v>Rug</v>
      </c>
      <c r="G143" t="str">
        <f>_xlfn.XLOOKUP(Sales_Data!E143,Product_Lookup!$A$2:$A$14,Product_Lookup!$C$2:$C$14)</f>
        <v>Home Accessories</v>
      </c>
      <c r="H143">
        <f>_xlfn.XLOOKUP(E143,Product_Lookup!$A$2:$A$14,Product_Lookup!$D$2:$D$14)</f>
        <v>145</v>
      </c>
      <c r="I143">
        <v>6</v>
      </c>
      <c r="J143">
        <f t="shared" si="12"/>
        <v>870</v>
      </c>
      <c r="K143" s="4">
        <v>0.1</v>
      </c>
      <c r="L143" s="7">
        <f t="shared" si="13"/>
        <v>87</v>
      </c>
      <c r="M143" s="7">
        <f t="shared" si="14"/>
        <v>783</v>
      </c>
      <c r="N143" s="7">
        <f>_xlfn.XLOOKUP(E143,Product_Lookup!$A$2:$A$14,Product_Lookup!$E$2:$E$14)</f>
        <v>88</v>
      </c>
      <c r="O143" s="7">
        <f t="shared" si="15"/>
        <v>528</v>
      </c>
      <c r="P143" s="7">
        <f t="shared" si="16"/>
        <v>255</v>
      </c>
      <c r="Q143" s="10">
        <f t="shared" si="17"/>
        <v>0.32567049808429116</v>
      </c>
      <c r="R143" t="s">
        <v>13</v>
      </c>
      <c r="S143" t="s">
        <v>33</v>
      </c>
    </row>
    <row r="144" spans="1:19">
      <c r="A144" t="s">
        <v>183</v>
      </c>
      <c r="B144" s="3">
        <v>46079</v>
      </c>
      <c r="C144" t="s">
        <v>38</v>
      </c>
      <c r="D144" t="s">
        <v>16</v>
      </c>
      <c r="E144" t="s">
        <v>67</v>
      </c>
      <c r="F144" t="str">
        <f>_xlfn.XLOOKUP(E144,Product_Lookup!$A$2:$A$14,Product_Lookup!$B$2:$B$14)</f>
        <v>Rug</v>
      </c>
      <c r="G144" t="str">
        <f>_xlfn.XLOOKUP(Sales_Data!E144,Product_Lookup!$A$2:$A$14,Product_Lookup!$C$2:$C$14)</f>
        <v>Home Accessories</v>
      </c>
      <c r="H144">
        <f>_xlfn.XLOOKUP(E144,Product_Lookup!$A$2:$A$14,Product_Lookup!$D$2:$D$14)</f>
        <v>145</v>
      </c>
      <c r="I144">
        <v>7</v>
      </c>
      <c r="J144">
        <f t="shared" si="12"/>
        <v>1015</v>
      </c>
      <c r="K144" s="4">
        <v>0.05</v>
      </c>
      <c r="L144" s="7">
        <f t="shared" si="13"/>
        <v>50.75</v>
      </c>
      <c r="M144" s="7">
        <f t="shared" si="14"/>
        <v>964.25</v>
      </c>
      <c r="N144" s="7">
        <f>_xlfn.XLOOKUP(E144,Product_Lookup!$A$2:$A$14,Product_Lookup!$E$2:$E$14)</f>
        <v>88</v>
      </c>
      <c r="O144" s="7">
        <f t="shared" si="15"/>
        <v>616</v>
      </c>
      <c r="P144" s="7">
        <f t="shared" si="16"/>
        <v>348.25</v>
      </c>
      <c r="Q144" s="10">
        <f t="shared" si="17"/>
        <v>0.36116152450090744</v>
      </c>
      <c r="R144" t="s">
        <v>13</v>
      </c>
      <c r="S144" t="s">
        <v>48</v>
      </c>
    </row>
    <row r="145" spans="1:19">
      <c r="A145" t="s">
        <v>184</v>
      </c>
      <c r="B145" s="3">
        <v>46180</v>
      </c>
      <c r="C145" t="s">
        <v>38</v>
      </c>
      <c r="D145" t="s">
        <v>20</v>
      </c>
      <c r="E145" t="s">
        <v>27</v>
      </c>
      <c r="F145" t="str">
        <f>_xlfn.XLOOKUP(E145,Product_Lookup!$A$2:$A$14,Product_Lookup!$B$2:$B$14)</f>
        <v>Kettle</v>
      </c>
      <c r="G145" t="str">
        <f>_xlfn.XLOOKUP(Sales_Data!E145,Product_Lookup!$A$2:$A$14,Product_Lookup!$C$2:$C$14)</f>
        <v>Kitchenware</v>
      </c>
      <c r="H145">
        <f>_xlfn.XLOOKUP(E145,Product_Lookup!$A$2:$A$14,Product_Lookup!$D$2:$D$14)</f>
        <v>38</v>
      </c>
      <c r="I145">
        <v>3</v>
      </c>
      <c r="J145">
        <f t="shared" si="12"/>
        <v>114</v>
      </c>
      <c r="K145" s="4">
        <v>0.05</v>
      </c>
      <c r="L145" s="7">
        <f t="shared" si="13"/>
        <v>5.7</v>
      </c>
      <c r="M145" s="7">
        <f t="shared" si="14"/>
        <v>108.3</v>
      </c>
      <c r="N145" s="7">
        <f>_xlfn.XLOOKUP(E145,Product_Lookup!$A$2:$A$14,Product_Lookup!$E$2:$E$14)</f>
        <v>21</v>
      </c>
      <c r="O145" s="7">
        <f t="shared" si="15"/>
        <v>63</v>
      </c>
      <c r="P145" s="7">
        <f t="shared" si="16"/>
        <v>45.3</v>
      </c>
      <c r="Q145" s="10">
        <f t="shared" si="17"/>
        <v>0.4182825484764543</v>
      </c>
      <c r="R145" t="s">
        <v>13</v>
      </c>
      <c r="S145" t="s">
        <v>42</v>
      </c>
    </row>
    <row r="146" spans="1:19">
      <c r="A146" t="s">
        <v>185</v>
      </c>
      <c r="B146" s="3">
        <v>46088</v>
      </c>
      <c r="C146" t="s">
        <v>38</v>
      </c>
      <c r="D146" t="s">
        <v>20</v>
      </c>
      <c r="E146" t="s">
        <v>12</v>
      </c>
      <c r="F146" t="str">
        <f>_xlfn.XLOOKUP(E146,Product_Lookup!$A$2:$A$14,Product_Lookup!$B$2:$B$14)</f>
        <v>Desk</v>
      </c>
      <c r="G146" t="str">
        <f>_xlfn.XLOOKUP(Sales_Data!E146,Product_Lookup!$A$2:$A$14,Product_Lookup!$C$2:$C$14)</f>
        <v>Furniture</v>
      </c>
      <c r="H146">
        <f>_xlfn.XLOOKUP(E146,Product_Lookup!$A$2:$A$14,Product_Lookup!$D$2:$D$14)</f>
        <v>210</v>
      </c>
      <c r="I146">
        <v>3</v>
      </c>
      <c r="J146">
        <f t="shared" si="12"/>
        <v>630</v>
      </c>
      <c r="K146" s="4">
        <v>0</v>
      </c>
      <c r="L146" s="7">
        <f t="shared" si="13"/>
        <v>0</v>
      </c>
      <c r="M146" s="7">
        <f t="shared" si="14"/>
        <v>630</v>
      </c>
      <c r="N146" s="7">
        <f>_xlfn.XLOOKUP(E146,Product_Lookup!$A$2:$A$14,Product_Lookup!$E$2:$E$14)</f>
        <v>132</v>
      </c>
      <c r="O146" s="7">
        <f t="shared" si="15"/>
        <v>396</v>
      </c>
      <c r="P146" s="7">
        <f t="shared" si="16"/>
        <v>234</v>
      </c>
      <c r="Q146" s="10">
        <f t="shared" si="17"/>
        <v>0.37142857142857144</v>
      </c>
      <c r="R146" t="s">
        <v>13</v>
      </c>
      <c r="S146" t="s">
        <v>33</v>
      </c>
    </row>
    <row r="147" spans="1:19">
      <c r="A147" t="s">
        <v>186</v>
      </c>
      <c r="B147" s="3">
        <v>46197</v>
      </c>
      <c r="C147" t="s">
        <v>29</v>
      </c>
      <c r="D147" t="s">
        <v>11</v>
      </c>
      <c r="E147" t="s">
        <v>41</v>
      </c>
      <c r="F147" t="str">
        <f>_xlfn.XLOOKUP(E147,Product_Lookup!$A$2:$A$14,Product_Lookup!$B$2:$B$14)</f>
        <v>Floor Lamp</v>
      </c>
      <c r="G147" t="str">
        <f>_xlfn.XLOOKUP(Sales_Data!E147,Product_Lookup!$A$2:$A$14,Product_Lookup!$C$2:$C$14)</f>
        <v>Lighting</v>
      </c>
      <c r="H147">
        <f>_xlfn.XLOOKUP(E147,Product_Lookup!$A$2:$A$14,Product_Lookup!$D$2:$D$14)</f>
        <v>125</v>
      </c>
      <c r="I147">
        <v>5</v>
      </c>
      <c r="J147">
        <f t="shared" si="12"/>
        <v>625</v>
      </c>
      <c r="K147" s="4">
        <v>0.05</v>
      </c>
      <c r="L147" s="7">
        <f t="shared" si="13"/>
        <v>31.25</v>
      </c>
      <c r="M147" s="7">
        <f t="shared" si="14"/>
        <v>593.75</v>
      </c>
      <c r="N147" s="7">
        <f>_xlfn.XLOOKUP(E147,Product_Lookup!$A$2:$A$14,Product_Lookup!$E$2:$E$14)</f>
        <v>73</v>
      </c>
      <c r="O147" s="7">
        <f t="shared" si="15"/>
        <v>365</v>
      </c>
      <c r="P147" s="7">
        <f t="shared" si="16"/>
        <v>228.75</v>
      </c>
      <c r="Q147" s="10">
        <f t="shared" si="17"/>
        <v>0.38526315789473686</v>
      </c>
      <c r="R147" t="s">
        <v>13</v>
      </c>
      <c r="S147" t="s">
        <v>39</v>
      </c>
    </row>
    <row r="148" spans="1:19">
      <c r="A148" t="s">
        <v>187</v>
      </c>
      <c r="B148" s="3">
        <v>46132</v>
      </c>
      <c r="C148" t="s">
        <v>44</v>
      </c>
      <c r="D148" t="s">
        <v>20</v>
      </c>
      <c r="E148" t="s">
        <v>30</v>
      </c>
      <c r="F148" t="str">
        <f>_xlfn.XLOOKUP(E148,Product_Lookup!$A$2:$A$14,Product_Lookup!$B$2:$B$14)</f>
        <v>Dining Chair</v>
      </c>
      <c r="G148" t="str">
        <f>_xlfn.XLOOKUP(Sales_Data!E148,Product_Lookup!$A$2:$A$14,Product_Lookup!$C$2:$C$14)</f>
        <v>Furniture</v>
      </c>
      <c r="H148">
        <f>_xlfn.XLOOKUP(E148,Product_Lookup!$A$2:$A$14,Product_Lookup!$D$2:$D$14)</f>
        <v>95</v>
      </c>
      <c r="I148">
        <v>3</v>
      </c>
      <c r="J148">
        <f t="shared" si="12"/>
        <v>285</v>
      </c>
      <c r="K148" s="4">
        <v>0</v>
      </c>
      <c r="L148" s="7">
        <f t="shared" si="13"/>
        <v>0</v>
      </c>
      <c r="M148" s="7">
        <f t="shared" si="14"/>
        <v>285</v>
      </c>
      <c r="N148" s="7">
        <f>_xlfn.XLOOKUP(E148,Product_Lookup!$A$2:$A$14,Product_Lookup!$E$2:$E$14)</f>
        <v>54</v>
      </c>
      <c r="O148" s="7">
        <f t="shared" si="15"/>
        <v>162</v>
      </c>
      <c r="P148" s="7">
        <f t="shared" si="16"/>
        <v>123</v>
      </c>
      <c r="Q148" s="10">
        <f t="shared" si="17"/>
        <v>0.43157894736842106</v>
      </c>
      <c r="R148" t="s">
        <v>13</v>
      </c>
      <c r="S148" t="s">
        <v>14</v>
      </c>
    </row>
    <row r="149" spans="1:19">
      <c r="A149" t="s">
        <v>188</v>
      </c>
      <c r="B149" s="3">
        <v>46170</v>
      </c>
      <c r="C149" t="s">
        <v>38</v>
      </c>
      <c r="D149" t="s">
        <v>11</v>
      </c>
      <c r="E149" t="s">
        <v>25</v>
      </c>
      <c r="F149" t="str">
        <f>_xlfn.XLOOKUP(E149,Product_Lookup!$A$2:$A$14,Product_Lookup!$B$2:$B$14)</f>
        <v>Table Lamp</v>
      </c>
      <c r="G149" t="str">
        <f>_xlfn.XLOOKUP(Sales_Data!E149,Product_Lookup!$A$2:$A$14,Product_Lookup!$C$2:$C$14)</f>
        <v>Lighting</v>
      </c>
      <c r="H149">
        <f>_xlfn.XLOOKUP(E149,Product_Lookup!$A$2:$A$14,Product_Lookup!$D$2:$D$14)</f>
        <v>62</v>
      </c>
      <c r="I149">
        <v>6</v>
      </c>
      <c r="J149">
        <f t="shared" si="12"/>
        <v>372</v>
      </c>
      <c r="K149" s="4">
        <v>0.1</v>
      </c>
      <c r="L149" s="7">
        <f t="shared" si="13"/>
        <v>37.200000000000003</v>
      </c>
      <c r="M149" s="7">
        <f t="shared" si="14"/>
        <v>334.8</v>
      </c>
      <c r="N149" s="7">
        <f>_xlfn.XLOOKUP(E149,Product_Lookup!$A$2:$A$14,Product_Lookup!$E$2:$E$14)</f>
        <v>31</v>
      </c>
      <c r="O149" s="7">
        <f t="shared" si="15"/>
        <v>186</v>
      </c>
      <c r="P149" s="7">
        <f t="shared" si="16"/>
        <v>148.80000000000001</v>
      </c>
      <c r="Q149" s="10">
        <f t="shared" si="17"/>
        <v>0.44444444444444448</v>
      </c>
      <c r="R149" t="s">
        <v>13</v>
      </c>
      <c r="S149" t="s">
        <v>39</v>
      </c>
    </row>
    <row r="150" spans="1:19">
      <c r="A150" t="s">
        <v>189</v>
      </c>
      <c r="B150" s="3">
        <v>46142</v>
      </c>
      <c r="C150" t="s">
        <v>44</v>
      </c>
      <c r="D150" t="s">
        <v>11</v>
      </c>
      <c r="E150" t="s">
        <v>98</v>
      </c>
      <c r="F150" t="str">
        <f>_xlfn.XLOOKUP(E150,Product_Lookup!$A$2:$A$14,Product_Lookup!$B$2:$B$14)</f>
        <v>Blender</v>
      </c>
      <c r="G150" t="str">
        <f>_xlfn.XLOOKUP(Sales_Data!E150,Product_Lookup!$A$2:$A$14,Product_Lookup!$C$2:$C$14)</f>
        <v>Kitchenware</v>
      </c>
      <c r="H150">
        <f>_xlfn.XLOOKUP(E150,Product_Lookup!$A$2:$A$14,Product_Lookup!$D$2:$D$14)</f>
        <v>75</v>
      </c>
      <c r="I150">
        <v>2</v>
      </c>
      <c r="J150">
        <f t="shared" si="12"/>
        <v>150</v>
      </c>
      <c r="K150" s="4">
        <v>0.1</v>
      </c>
      <c r="L150" s="7">
        <f t="shared" si="13"/>
        <v>15</v>
      </c>
      <c r="M150" s="7">
        <f t="shared" si="14"/>
        <v>135</v>
      </c>
      <c r="N150" s="7">
        <f>_xlfn.XLOOKUP(E150,Product_Lookup!$A$2:$A$14,Product_Lookup!$E$2:$E$14)</f>
        <v>43</v>
      </c>
      <c r="O150" s="7">
        <f t="shared" si="15"/>
        <v>86</v>
      </c>
      <c r="P150" s="7">
        <f t="shared" si="16"/>
        <v>49</v>
      </c>
      <c r="Q150" s="10">
        <f t="shared" si="17"/>
        <v>0.36296296296296299</v>
      </c>
      <c r="R150" t="s">
        <v>13</v>
      </c>
      <c r="S150" t="s">
        <v>22</v>
      </c>
    </row>
    <row r="151" spans="1:19">
      <c r="A151" t="s">
        <v>190</v>
      </c>
      <c r="B151" s="3">
        <v>46098</v>
      </c>
      <c r="C151" t="s">
        <v>10</v>
      </c>
      <c r="D151" t="s">
        <v>20</v>
      </c>
      <c r="E151" t="s">
        <v>27</v>
      </c>
      <c r="F151" t="str">
        <f>_xlfn.XLOOKUP(E151,Product_Lookup!$A$2:$A$14,Product_Lookup!$B$2:$B$14)</f>
        <v>Kettle</v>
      </c>
      <c r="G151" t="str">
        <f>_xlfn.XLOOKUP(Sales_Data!E151,Product_Lookup!$A$2:$A$14,Product_Lookup!$C$2:$C$14)</f>
        <v>Kitchenware</v>
      </c>
      <c r="H151">
        <f>_xlfn.XLOOKUP(E151,Product_Lookup!$A$2:$A$14,Product_Lookup!$D$2:$D$14)</f>
        <v>38</v>
      </c>
      <c r="I151">
        <v>4</v>
      </c>
      <c r="J151">
        <f t="shared" si="12"/>
        <v>152</v>
      </c>
      <c r="K151" s="4">
        <v>0.1</v>
      </c>
      <c r="L151" s="7">
        <f t="shared" si="13"/>
        <v>15.200000000000001</v>
      </c>
      <c r="M151" s="7">
        <f t="shared" si="14"/>
        <v>136.80000000000001</v>
      </c>
      <c r="N151" s="7">
        <f>_xlfn.XLOOKUP(E151,Product_Lookup!$A$2:$A$14,Product_Lookup!$E$2:$E$14)</f>
        <v>21</v>
      </c>
      <c r="O151" s="7">
        <f t="shared" si="15"/>
        <v>84</v>
      </c>
      <c r="P151" s="7">
        <f t="shared" si="16"/>
        <v>52.800000000000011</v>
      </c>
      <c r="Q151" s="10">
        <f t="shared" si="17"/>
        <v>0.38596491228070179</v>
      </c>
      <c r="R151" t="s">
        <v>13</v>
      </c>
      <c r="S151" t="s">
        <v>39</v>
      </c>
    </row>
    <row r="152" spans="1:19">
      <c r="A152" t="s">
        <v>191</v>
      </c>
      <c r="B152" s="3">
        <v>46099</v>
      </c>
      <c r="C152" t="s">
        <v>10</v>
      </c>
      <c r="D152" t="s">
        <v>11</v>
      </c>
      <c r="E152" t="s">
        <v>98</v>
      </c>
      <c r="F152" t="str">
        <f>_xlfn.XLOOKUP(E152,Product_Lookup!$A$2:$A$14,Product_Lookup!$B$2:$B$14)</f>
        <v>Blender</v>
      </c>
      <c r="G152" t="str">
        <f>_xlfn.XLOOKUP(Sales_Data!E152,Product_Lookup!$A$2:$A$14,Product_Lookup!$C$2:$C$14)</f>
        <v>Kitchenware</v>
      </c>
      <c r="H152">
        <f>_xlfn.XLOOKUP(E152,Product_Lookup!$A$2:$A$14,Product_Lookup!$D$2:$D$14)</f>
        <v>75</v>
      </c>
      <c r="I152">
        <v>2</v>
      </c>
      <c r="J152">
        <f t="shared" si="12"/>
        <v>150</v>
      </c>
      <c r="K152" s="4">
        <v>0</v>
      </c>
      <c r="L152" s="7">
        <f t="shared" si="13"/>
        <v>0</v>
      </c>
      <c r="M152" s="7">
        <f t="shared" si="14"/>
        <v>150</v>
      </c>
      <c r="N152" s="7">
        <f>_xlfn.XLOOKUP(E152,Product_Lookup!$A$2:$A$14,Product_Lookup!$E$2:$E$14)</f>
        <v>43</v>
      </c>
      <c r="O152" s="7">
        <f t="shared" si="15"/>
        <v>86</v>
      </c>
      <c r="P152" s="7">
        <f t="shared" si="16"/>
        <v>64</v>
      </c>
      <c r="Q152" s="10">
        <f t="shared" si="17"/>
        <v>0.42666666666666669</v>
      </c>
      <c r="R152" t="s">
        <v>13</v>
      </c>
      <c r="S152" t="s">
        <v>18</v>
      </c>
    </row>
    <row r="153" spans="1:19">
      <c r="A153" t="s">
        <v>192</v>
      </c>
      <c r="B153" s="3">
        <v>46059</v>
      </c>
      <c r="C153" t="s">
        <v>38</v>
      </c>
      <c r="D153" t="s">
        <v>16</v>
      </c>
      <c r="E153" t="s">
        <v>45</v>
      </c>
      <c r="F153" t="str">
        <f>_xlfn.XLOOKUP(E153,Product_Lookup!$A$2:$A$14,Product_Lookup!$B$2:$B$14)</f>
        <v>Cushion Set</v>
      </c>
      <c r="G153" t="str">
        <f>_xlfn.XLOOKUP(Sales_Data!E153,Product_Lookup!$A$2:$A$14,Product_Lookup!$C$2:$C$14)</f>
        <v>Home Accessories</v>
      </c>
      <c r="H153">
        <f>_xlfn.XLOOKUP(E153,Product_Lookup!$A$2:$A$14,Product_Lookup!$D$2:$D$14)</f>
        <v>32</v>
      </c>
      <c r="I153">
        <v>3</v>
      </c>
      <c r="J153">
        <f t="shared" si="12"/>
        <v>96</v>
      </c>
      <c r="K153" s="4">
        <v>0.1</v>
      </c>
      <c r="L153" s="7">
        <f t="shared" si="13"/>
        <v>9.6000000000000014</v>
      </c>
      <c r="M153" s="7">
        <f t="shared" si="14"/>
        <v>86.4</v>
      </c>
      <c r="N153" s="7">
        <f>_xlfn.XLOOKUP(E153,Product_Lookup!$A$2:$A$14,Product_Lookup!$E$2:$E$14)</f>
        <v>14</v>
      </c>
      <c r="O153" s="7">
        <f t="shared" si="15"/>
        <v>42</v>
      </c>
      <c r="P153" s="7">
        <f t="shared" si="16"/>
        <v>44.400000000000006</v>
      </c>
      <c r="Q153" s="10">
        <f t="shared" si="17"/>
        <v>0.51388888888888895</v>
      </c>
      <c r="R153" t="s">
        <v>36</v>
      </c>
      <c r="S153" t="s">
        <v>22</v>
      </c>
    </row>
    <row r="154" spans="1:19">
      <c r="A154" t="s">
        <v>193</v>
      </c>
      <c r="B154" s="3">
        <v>46034</v>
      </c>
      <c r="C154" t="s">
        <v>10</v>
      </c>
      <c r="D154" t="s">
        <v>20</v>
      </c>
      <c r="E154" t="s">
        <v>12</v>
      </c>
      <c r="F154" t="str">
        <f>_xlfn.XLOOKUP(E154,Product_Lookup!$A$2:$A$14,Product_Lookup!$B$2:$B$14)</f>
        <v>Desk</v>
      </c>
      <c r="G154" t="str">
        <f>_xlfn.XLOOKUP(Sales_Data!E154,Product_Lookup!$A$2:$A$14,Product_Lookup!$C$2:$C$14)</f>
        <v>Furniture</v>
      </c>
      <c r="H154">
        <f>_xlfn.XLOOKUP(E154,Product_Lookup!$A$2:$A$14,Product_Lookup!$D$2:$D$14)</f>
        <v>210</v>
      </c>
      <c r="I154">
        <v>2</v>
      </c>
      <c r="J154">
        <f t="shared" si="12"/>
        <v>420</v>
      </c>
      <c r="K154" s="4">
        <v>0</v>
      </c>
      <c r="L154" s="7">
        <f t="shared" si="13"/>
        <v>0</v>
      </c>
      <c r="M154" s="7">
        <f t="shared" si="14"/>
        <v>420</v>
      </c>
      <c r="N154" s="7">
        <f>_xlfn.XLOOKUP(E154,Product_Lookup!$A$2:$A$14,Product_Lookup!$E$2:$E$14)</f>
        <v>132</v>
      </c>
      <c r="O154" s="7">
        <f t="shared" si="15"/>
        <v>264</v>
      </c>
      <c r="P154" s="7">
        <f t="shared" si="16"/>
        <v>156</v>
      </c>
      <c r="Q154" s="10">
        <f t="shared" si="17"/>
        <v>0.37142857142857144</v>
      </c>
      <c r="R154" t="s">
        <v>13</v>
      </c>
      <c r="S154" t="s">
        <v>18</v>
      </c>
    </row>
    <row r="155" spans="1:19">
      <c r="A155" t="s">
        <v>194</v>
      </c>
      <c r="B155" s="3">
        <v>46041</v>
      </c>
      <c r="C155" t="s">
        <v>24</v>
      </c>
      <c r="D155" t="s">
        <v>20</v>
      </c>
      <c r="E155" t="s">
        <v>32</v>
      </c>
      <c r="F155" t="str">
        <f>_xlfn.XLOOKUP(E155,Product_Lookup!$A$2:$A$14,Product_Lookup!$B$2:$B$14)</f>
        <v>Sofa</v>
      </c>
      <c r="G155" t="str">
        <f>_xlfn.XLOOKUP(Sales_Data!E155,Product_Lookup!$A$2:$A$14,Product_Lookup!$C$2:$C$14)</f>
        <v>Furniture</v>
      </c>
      <c r="H155">
        <f>_xlfn.XLOOKUP(E155,Product_Lookup!$A$2:$A$14,Product_Lookup!$D$2:$D$14)</f>
        <v>420</v>
      </c>
      <c r="I155">
        <v>2</v>
      </c>
      <c r="J155">
        <f t="shared" si="12"/>
        <v>840</v>
      </c>
      <c r="K155" s="4">
        <v>0</v>
      </c>
      <c r="L155" s="7">
        <f t="shared" si="13"/>
        <v>0</v>
      </c>
      <c r="M155" s="7">
        <f t="shared" si="14"/>
        <v>840</v>
      </c>
      <c r="N155" s="7">
        <f>_xlfn.XLOOKUP(E155,Product_Lookup!$A$2:$A$14,Product_Lookup!$E$2:$E$14)</f>
        <v>280</v>
      </c>
      <c r="O155" s="7">
        <f t="shared" si="15"/>
        <v>560</v>
      </c>
      <c r="P155" s="7">
        <f t="shared" si="16"/>
        <v>280</v>
      </c>
      <c r="Q155" s="10">
        <f t="shared" si="17"/>
        <v>0.33333333333333331</v>
      </c>
      <c r="R155" t="s">
        <v>13</v>
      </c>
      <c r="S155" t="s">
        <v>33</v>
      </c>
    </row>
    <row r="156" spans="1:19">
      <c r="A156" t="s">
        <v>195</v>
      </c>
      <c r="B156" s="3">
        <v>46077</v>
      </c>
      <c r="C156" t="s">
        <v>10</v>
      </c>
      <c r="D156" t="s">
        <v>16</v>
      </c>
      <c r="E156" t="s">
        <v>25</v>
      </c>
      <c r="F156" t="str">
        <f>_xlfn.XLOOKUP(E156,Product_Lookup!$A$2:$A$14,Product_Lookup!$B$2:$B$14)</f>
        <v>Table Lamp</v>
      </c>
      <c r="G156" t="str">
        <f>_xlfn.XLOOKUP(Sales_Data!E156,Product_Lookup!$A$2:$A$14,Product_Lookup!$C$2:$C$14)</f>
        <v>Lighting</v>
      </c>
      <c r="H156">
        <f>_xlfn.XLOOKUP(E156,Product_Lookup!$A$2:$A$14,Product_Lookup!$D$2:$D$14)</f>
        <v>62</v>
      </c>
      <c r="I156">
        <v>7</v>
      </c>
      <c r="J156">
        <f t="shared" si="12"/>
        <v>434</v>
      </c>
      <c r="K156" s="4">
        <v>0.15</v>
      </c>
      <c r="L156" s="7">
        <f t="shared" si="13"/>
        <v>65.099999999999994</v>
      </c>
      <c r="M156" s="7">
        <f t="shared" si="14"/>
        <v>368.9</v>
      </c>
      <c r="N156" s="7">
        <f>_xlfn.XLOOKUP(E156,Product_Lookup!$A$2:$A$14,Product_Lookup!$E$2:$E$14)</f>
        <v>31</v>
      </c>
      <c r="O156" s="7">
        <f t="shared" si="15"/>
        <v>217</v>
      </c>
      <c r="P156" s="7">
        <f t="shared" si="16"/>
        <v>151.89999999999998</v>
      </c>
      <c r="Q156" s="10">
        <f t="shared" si="17"/>
        <v>0.41176470588235292</v>
      </c>
      <c r="R156" t="s">
        <v>13</v>
      </c>
      <c r="S156" t="s">
        <v>42</v>
      </c>
    </row>
    <row r="157" spans="1:19">
      <c r="A157" t="s">
        <v>196</v>
      </c>
      <c r="B157" s="3">
        <v>46187</v>
      </c>
      <c r="C157" t="s">
        <v>44</v>
      </c>
      <c r="D157" t="s">
        <v>20</v>
      </c>
      <c r="E157" t="s">
        <v>32</v>
      </c>
      <c r="F157" t="str">
        <f>_xlfn.XLOOKUP(E157,Product_Lookup!$A$2:$A$14,Product_Lookup!$B$2:$B$14)</f>
        <v>Sofa</v>
      </c>
      <c r="G157" t="str">
        <f>_xlfn.XLOOKUP(Sales_Data!E157,Product_Lookup!$A$2:$A$14,Product_Lookup!$C$2:$C$14)</f>
        <v>Furniture</v>
      </c>
      <c r="H157">
        <f>_xlfn.XLOOKUP(E157,Product_Lookup!$A$2:$A$14,Product_Lookup!$D$2:$D$14)</f>
        <v>420</v>
      </c>
      <c r="I157">
        <v>7</v>
      </c>
      <c r="J157">
        <f t="shared" si="12"/>
        <v>2940</v>
      </c>
      <c r="K157" s="4">
        <v>0</v>
      </c>
      <c r="L157" s="7">
        <f t="shared" si="13"/>
        <v>0</v>
      </c>
      <c r="M157" s="7">
        <f t="shared" si="14"/>
        <v>2940</v>
      </c>
      <c r="N157" s="7">
        <f>_xlfn.XLOOKUP(E157,Product_Lookup!$A$2:$A$14,Product_Lookup!$E$2:$E$14)</f>
        <v>280</v>
      </c>
      <c r="O157" s="7">
        <f t="shared" si="15"/>
        <v>1960</v>
      </c>
      <c r="P157" s="7">
        <f t="shared" si="16"/>
        <v>980</v>
      </c>
      <c r="Q157" s="10">
        <f t="shared" si="17"/>
        <v>0.33333333333333331</v>
      </c>
      <c r="R157" t="s">
        <v>13</v>
      </c>
      <c r="S157" t="s">
        <v>22</v>
      </c>
    </row>
    <row r="158" spans="1:19">
      <c r="A158" t="s">
        <v>197</v>
      </c>
      <c r="B158" s="3">
        <v>46091</v>
      </c>
      <c r="C158" t="s">
        <v>24</v>
      </c>
      <c r="D158" t="s">
        <v>16</v>
      </c>
      <c r="E158" t="s">
        <v>41</v>
      </c>
      <c r="F158" t="str">
        <f>_xlfn.XLOOKUP(E158,Product_Lookup!$A$2:$A$14,Product_Lookup!$B$2:$B$14)</f>
        <v>Floor Lamp</v>
      </c>
      <c r="G158" t="str">
        <f>_xlfn.XLOOKUP(Sales_Data!E158,Product_Lookup!$A$2:$A$14,Product_Lookup!$C$2:$C$14)</f>
        <v>Lighting</v>
      </c>
      <c r="H158">
        <f>_xlfn.XLOOKUP(E158,Product_Lookup!$A$2:$A$14,Product_Lookup!$D$2:$D$14)</f>
        <v>125</v>
      </c>
      <c r="I158">
        <v>6</v>
      </c>
      <c r="J158">
        <f t="shared" si="12"/>
        <v>750</v>
      </c>
      <c r="K158" s="4">
        <v>0.15</v>
      </c>
      <c r="L158" s="7">
        <f t="shared" si="13"/>
        <v>112.5</v>
      </c>
      <c r="M158" s="7">
        <f t="shared" si="14"/>
        <v>637.5</v>
      </c>
      <c r="N158" s="7">
        <f>_xlfn.XLOOKUP(E158,Product_Lookup!$A$2:$A$14,Product_Lookup!$E$2:$E$14)</f>
        <v>73</v>
      </c>
      <c r="O158" s="7">
        <f t="shared" si="15"/>
        <v>438</v>
      </c>
      <c r="P158" s="7">
        <f t="shared" si="16"/>
        <v>199.5</v>
      </c>
      <c r="Q158" s="10">
        <f t="shared" si="17"/>
        <v>0.31294117647058822</v>
      </c>
      <c r="R158" t="s">
        <v>13</v>
      </c>
      <c r="S158" t="s">
        <v>18</v>
      </c>
    </row>
    <row r="159" spans="1:19">
      <c r="A159" t="s">
        <v>198</v>
      </c>
      <c r="B159" s="3">
        <v>46083</v>
      </c>
      <c r="C159" t="s">
        <v>29</v>
      </c>
      <c r="D159" t="s">
        <v>16</v>
      </c>
      <c r="E159" t="s">
        <v>17</v>
      </c>
      <c r="F159" t="str">
        <f>_xlfn.XLOOKUP(E159,Product_Lookup!$A$2:$A$14,Product_Lookup!$B$2:$B$14)</f>
        <v>Storage Box</v>
      </c>
      <c r="G159" t="str">
        <f>_xlfn.XLOOKUP(Sales_Data!E159,Product_Lookup!$A$2:$A$14,Product_Lookup!$C$2:$C$14)</f>
        <v>Storage</v>
      </c>
      <c r="H159">
        <f>_xlfn.XLOOKUP(E159,Product_Lookup!$A$2:$A$14,Product_Lookup!$D$2:$D$14)</f>
        <v>26</v>
      </c>
      <c r="I159">
        <v>1</v>
      </c>
      <c r="J159">
        <f t="shared" si="12"/>
        <v>26</v>
      </c>
      <c r="K159" s="4">
        <v>0.05</v>
      </c>
      <c r="L159" s="7">
        <f t="shared" si="13"/>
        <v>1.3</v>
      </c>
      <c r="M159" s="7">
        <f t="shared" si="14"/>
        <v>24.7</v>
      </c>
      <c r="N159" s="7">
        <f>_xlfn.XLOOKUP(E159,Product_Lookup!$A$2:$A$14,Product_Lookup!$E$2:$E$14)</f>
        <v>11</v>
      </c>
      <c r="O159" s="7">
        <f t="shared" si="15"/>
        <v>11</v>
      </c>
      <c r="P159" s="7">
        <f t="shared" si="16"/>
        <v>13.7</v>
      </c>
      <c r="Q159" s="10">
        <f t="shared" si="17"/>
        <v>0.55465587044534415</v>
      </c>
      <c r="R159" t="s">
        <v>13</v>
      </c>
      <c r="S159" t="s">
        <v>33</v>
      </c>
    </row>
    <row r="160" spans="1:19">
      <c r="A160" t="s">
        <v>199</v>
      </c>
      <c r="B160" s="3">
        <v>46154</v>
      </c>
      <c r="C160" t="s">
        <v>10</v>
      </c>
      <c r="D160" t="s">
        <v>11</v>
      </c>
      <c r="E160" t="s">
        <v>57</v>
      </c>
      <c r="F160" t="str">
        <f>_xlfn.XLOOKUP(E160,Product_Lookup!$A$2:$A$14,Product_Lookup!$B$2:$B$14)</f>
        <v>Shelving Unit</v>
      </c>
      <c r="G160" t="str">
        <f>_xlfn.XLOOKUP(Sales_Data!E160,Product_Lookup!$A$2:$A$14,Product_Lookup!$C$2:$C$14)</f>
        <v>Storage</v>
      </c>
      <c r="H160">
        <f>_xlfn.XLOOKUP(E160,Product_Lookup!$A$2:$A$14,Product_Lookup!$D$2:$D$14)</f>
        <v>115</v>
      </c>
      <c r="I160">
        <v>1</v>
      </c>
      <c r="J160">
        <f t="shared" si="12"/>
        <v>115</v>
      </c>
      <c r="K160" s="4">
        <v>0</v>
      </c>
      <c r="L160" s="7">
        <f t="shared" si="13"/>
        <v>0</v>
      </c>
      <c r="M160" s="7">
        <f t="shared" si="14"/>
        <v>115</v>
      </c>
      <c r="N160" s="7">
        <f>_xlfn.XLOOKUP(E160,Product_Lookup!$A$2:$A$14,Product_Lookup!$E$2:$E$14)</f>
        <v>67</v>
      </c>
      <c r="O160" s="7">
        <f t="shared" si="15"/>
        <v>67</v>
      </c>
      <c r="P160" s="7">
        <f t="shared" si="16"/>
        <v>48</v>
      </c>
      <c r="Q160" s="10">
        <f t="shared" si="17"/>
        <v>0.41739130434782606</v>
      </c>
      <c r="R160" t="s">
        <v>13</v>
      </c>
      <c r="S160" t="s">
        <v>39</v>
      </c>
    </row>
    <row r="161" spans="1:19">
      <c r="A161" t="s">
        <v>200</v>
      </c>
      <c r="B161" s="3">
        <v>46089</v>
      </c>
      <c r="C161" t="s">
        <v>29</v>
      </c>
      <c r="D161" t="s">
        <v>20</v>
      </c>
      <c r="E161" t="s">
        <v>57</v>
      </c>
      <c r="F161" t="str">
        <f>_xlfn.XLOOKUP(E161,Product_Lookup!$A$2:$A$14,Product_Lookup!$B$2:$B$14)</f>
        <v>Shelving Unit</v>
      </c>
      <c r="G161" t="str">
        <f>_xlfn.XLOOKUP(Sales_Data!E161,Product_Lookup!$A$2:$A$14,Product_Lookup!$C$2:$C$14)</f>
        <v>Storage</v>
      </c>
      <c r="H161">
        <f>_xlfn.XLOOKUP(E161,Product_Lookup!$A$2:$A$14,Product_Lookup!$D$2:$D$14)</f>
        <v>115</v>
      </c>
      <c r="I161">
        <v>6</v>
      </c>
      <c r="J161">
        <f t="shared" si="12"/>
        <v>690</v>
      </c>
      <c r="K161" s="4">
        <v>0</v>
      </c>
      <c r="L161" s="7">
        <f t="shared" si="13"/>
        <v>0</v>
      </c>
      <c r="M161" s="7">
        <f t="shared" si="14"/>
        <v>690</v>
      </c>
      <c r="N161" s="7">
        <f>_xlfn.XLOOKUP(E161,Product_Lookup!$A$2:$A$14,Product_Lookup!$E$2:$E$14)</f>
        <v>67</v>
      </c>
      <c r="O161" s="7">
        <f t="shared" si="15"/>
        <v>402</v>
      </c>
      <c r="P161" s="7">
        <f t="shared" si="16"/>
        <v>288</v>
      </c>
      <c r="Q161" s="10">
        <f t="shared" si="17"/>
        <v>0.41739130434782606</v>
      </c>
      <c r="R161" t="s">
        <v>13</v>
      </c>
      <c r="S161" t="s">
        <v>48</v>
      </c>
    </row>
    <row r="162" spans="1:19">
      <c r="A162" t="s">
        <v>201</v>
      </c>
      <c r="B162" s="3">
        <v>46116</v>
      </c>
      <c r="C162" t="s">
        <v>38</v>
      </c>
      <c r="D162" t="s">
        <v>16</v>
      </c>
      <c r="E162" t="s">
        <v>27</v>
      </c>
      <c r="F162" t="str">
        <f>_xlfn.XLOOKUP(E162,Product_Lookup!$A$2:$A$14,Product_Lookup!$B$2:$B$14)</f>
        <v>Kettle</v>
      </c>
      <c r="G162" t="str">
        <f>_xlfn.XLOOKUP(Sales_Data!E162,Product_Lookup!$A$2:$A$14,Product_Lookup!$C$2:$C$14)</f>
        <v>Kitchenware</v>
      </c>
      <c r="H162">
        <f>_xlfn.XLOOKUP(E162,Product_Lookup!$A$2:$A$14,Product_Lookup!$D$2:$D$14)</f>
        <v>38</v>
      </c>
      <c r="I162">
        <v>5</v>
      </c>
      <c r="J162">
        <f t="shared" si="12"/>
        <v>190</v>
      </c>
      <c r="K162" s="4">
        <v>0</v>
      </c>
      <c r="L162" s="7">
        <f t="shared" si="13"/>
        <v>0</v>
      </c>
      <c r="M162" s="7">
        <f t="shared" si="14"/>
        <v>190</v>
      </c>
      <c r="N162" s="7">
        <f>_xlfn.XLOOKUP(E162,Product_Lookup!$A$2:$A$14,Product_Lookup!$E$2:$E$14)</f>
        <v>21</v>
      </c>
      <c r="O162" s="7">
        <f t="shared" si="15"/>
        <v>105</v>
      </c>
      <c r="P162" s="7">
        <f t="shared" si="16"/>
        <v>85</v>
      </c>
      <c r="Q162" s="10">
        <f t="shared" si="17"/>
        <v>0.44736842105263158</v>
      </c>
      <c r="R162" t="s">
        <v>13</v>
      </c>
      <c r="S162" t="s">
        <v>42</v>
      </c>
    </row>
    <row r="163" spans="1:19">
      <c r="A163" t="s">
        <v>202</v>
      </c>
      <c r="B163" s="3">
        <v>46171</v>
      </c>
      <c r="C163" t="s">
        <v>29</v>
      </c>
      <c r="D163" t="s">
        <v>20</v>
      </c>
      <c r="E163" t="s">
        <v>41</v>
      </c>
      <c r="F163" t="str">
        <f>_xlfn.XLOOKUP(E163,Product_Lookup!$A$2:$A$14,Product_Lookup!$B$2:$B$14)</f>
        <v>Floor Lamp</v>
      </c>
      <c r="G163" t="str">
        <f>_xlfn.XLOOKUP(Sales_Data!E163,Product_Lookup!$A$2:$A$14,Product_Lookup!$C$2:$C$14)</f>
        <v>Lighting</v>
      </c>
      <c r="H163">
        <f>_xlfn.XLOOKUP(E163,Product_Lookup!$A$2:$A$14,Product_Lookup!$D$2:$D$14)</f>
        <v>125</v>
      </c>
      <c r="I163">
        <v>2</v>
      </c>
      <c r="J163">
        <f t="shared" si="12"/>
        <v>250</v>
      </c>
      <c r="K163" s="4">
        <v>0.1</v>
      </c>
      <c r="L163" s="7">
        <f t="shared" si="13"/>
        <v>25</v>
      </c>
      <c r="M163" s="7">
        <f t="shared" si="14"/>
        <v>225</v>
      </c>
      <c r="N163" s="7">
        <f>_xlfn.XLOOKUP(E163,Product_Lookup!$A$2:$A$14,Product_Lookup!$E$2:$E$14)</f>
        <v>73</v>
      </c>
      <c r="O163" s="7">
        <f t="shared" si="15"/>
        <v>146</v>
      </c>
      <c r="P163" s="7">
        <f t="shared" si="16"/>
        <v>79</v>
      </c>
      <c r="Q163" s="10">
        <f t="shared" si="17"/>
        <v>0.3511111111111111</v>
      </c>
      <c r="R163" t="s">
        <v>13</v>
      </c>
      <c r="S163" t="s">
        <v>22</v>
      </c>
    </row>
    <row r="164" spans="1:19">
      <c r="A164" t="s">
        <v>203</v>
      </c>
      <c r="B164" s="3">
        <v>46149</v>
      </c>
      <c r="C164" t="s">
        <v>10</v>
      </c>
      <c r="D164" t="s">
        <v>11</v>
      </c>
      <c r="E164" t="s">
        <v>98</v>
      </c>
      <c r="F164" t="str">
        <f>_xlfn.XLOOKUP(E164,Product_Lookup!$A$2:$A$14,Product_Lookup!$B$2:$B$14)</f>
        <v>Blender</v>
      </c>
      <c r="G164" t="str">
        <f>_xlfn.XLOOKUP(Sales_Data!E164,Product_Lookup!$A$2:$A$14,Product_Lookup!$C$2:$C$14)</f>
        <v>Kitchenware</v>
      </c>
      <c r="H164">
        <f>_xlfn.XLOOKUP(E164,Product_Lookup!$A$2:$A$14,Product_Lookup!$D$2:$D$14)</f>
        <v>75</v>
      </c>
      <c r="I164">
        <v>3</v>
      </c>
      <c r="J164">
        <f t="shared" si="12"/>
        <v>225</v>
      </c>
      <c r="K164" s="4">
        <v>0.2</v>
      </c>
      <c r="L164" s="7">
        <f t="shared" si="13"/>
        <v>45</v>
      </c>
      <c r="M164" s="7">
        <f t="shared" si="14"/>
        <v>180</v>
      </c>
      <c r="N164" s="7">
        <f>_xlfn.XLOOKUP(E164,Product_Lookup!$A$2:$A$14,Product_Lookup!$E$2:$E$14)</f>
        <v>43</v>
      </c>
      <c r="O164" s="7">
        <f t="shared" si="15"/>
        <v>129</v>
      </c>
      <c r="P164" s="7">
        <f t="shared" si="16"/>
        <v>51</v>
      </c>
      <c r="Q164" s="10">
        <f t="shared" si="17"/>
        <v>0.28333333333333333</v>
      </c>
      <c r="R164" t="s">
        <v>13</v>
      </c>
      <c r="S164" t="s">
        <v>33</v>
      </c>
    </row>
    <row r="165" spans="1:19">
      <c r="A165" t="s">
        <v>204</v>
      </c>
      <c r="B165" s="3">
        <v>46159</v>
      </c>
      <c r="C165" t="s">
        <v>38</v>
      </c>
      <c r="D165" t="s">
        <v>20</v>
      </c>
      <c r="E165" t="s">
        <v>17</v>
      </c>
      <c r="F165" t="str">
        <f>_xlfn.XLOOKUP(E165,Product_Lookup!$A$2:$A$14,Product_Lookup!$B$2:$B$14)</f>
        <v>Storage Box</v>
      </c>
      <c r="G165" t="str">
        <f>_xlfn.XLOOKUP(Sales_Data!E165,Product_Lookup!$A$2:$A$14,Product_Lookup!$C$2:$C$14)</f>
        <v>Storage</v>
      </c>
      <c r="H165">
        <f>_xlfn.XLOOKUP(E165,Product_Lookup!$A$2:$A$14,Product_Lookup!$D$2:$D$14)</f>
        <v>26</v>
      </c>
      <c r="I165">
        <v>4</v>
      </c>
      <c r="J165">
        <f t="shared" si="12"/>
        <v>104</v>
      </c>
      <c r="K165" s="4">
        <v>0.15</v>
      </c>
      <c r="L165" s="7">
        <f t="shared" si="13"/>
        <v>15.6</v>
      </c>
      <c r="M165" s="7">
        <f t="shared" si="14"/>
        <v>88.4</v>
      </c>
      <c r="N165" s="7">
        <f>_xlfn.XLOOKUP(E165,Product_Lookup!$A$2:$A$14,Product_Lookup!$E$2:$E$14)</f>
        <v>11</v>
      </c>
      <c r="O165" s="7">
        <f t="shared" si="15"/>
        <v>44</v>
      </c>
      <c r="P165" s="7">
        <f t="shared" si="16"/>
        <v>44.400000000000006</v>
      </c>
      <c r="Q165" s="10">
        <f t="shared" si="17"/>
        <v>0.50226244343891402</v>
      </c>
      <c r="R165" t="s">
        <v>13</v>
      </c>
      <c r="S165" t="s">
        <v>22</v>
      </c>
    </row>
    <row r="166" spans="1:19">
      <c r="A166" t="s">
        <v>205</v>
      </c>
      <c r="B166" s="3">
        <v>46052</v>
      </c>
      <c r="C166" t="s">
        <v>24</v>
      </c>
      <c r="D166" t="s">
        <v>11</v>
      </c>
      <c r="E166" t="s">
        <v>76</v>
      </c>
      <c r="F166" t="str">
        <f>_xlfn.XLOOKUP(E166,Product_Lookup!$A$2:$A$14,Product_Lookup!$B$2:$B$14)</f>
        <v>Cookware Set</v>
      </c>
      <c r="G166" t="str">
        <f>_xlfn.XLOOKUP(Sales_Data!E166,Product_Lookup!$A$2:$A$14,Product_Lookup!$C$2:$C$14)</f>
        <v>Kitchenware</v>
      </c>
      <c r="H166">
        <f>_xlfn.XLOOKUP(E166,Product_Lookup!$A$2:$A$14,Product_Lookup!$D$2:$D$14)</f>
        <v>110</v>
      </c>
      <c r="I166">
        <v>5</v>
      </c>
      <c r="J166">
        <f t="shared" si="12"/>
        <v>550</v>
      </c>
      <c r="K166" s="4">
        <v>0.05</v>
      </c>
      <c r="L166" s="7">
        <f t="shared" si="13"/>
        <v>27.5</v>
      </c>
      <c r="M166" s="7">
        <f t="shared" si="14"/>
        <v>522.5</v>
      </c>
      <c r="N166" s="7">
        <f>_xlfn.XLOOKUP(E166,Product_Lookup!$A$2:$A$14,Product_Lookup!$E$2:$E$14)</f>
        <v>65</v>
      </c>
      <c r="O166" s="7">
        <f t="shared" si="15"/>
        <v>325</v>
      </c>
      <c r="P166" s="7">
        <f t="shared" si="16"/>
        <v>197.5</v>
      </c>
      <c r="Q166" s="10">
        <f t="shared" si="17"/>
        <v>0.37799043062200954</v>
      </c>
      <c r="R166" t="s">
        <v>13</v>
      </c>
      <c r="S166" t="s">
        <v>42</v>
      </c>
    </row>
    <row r="167" spans="1:19">
      <c r="A167" t="s">
        <v>206</v>
      </c>
      <c r="B167" s="3">
        <v>46064</v>
      </c>
      <c r="C167" t="s">
        <v>29</v>
      </c>
      <c r="D167" t="s">
        <v>11</v>
      </c>
      <c r="E167" t="s">
        <v>17</v>
      </c>
      <c r="F167" t="str">
        <f>_xlfn.XLOOKUP(E167,Product_Lookup!$A$2:$A$14,Product_Lookup!$B$2:$B$14)</f>
        <v>Storage Box</v>
      </c>
      <c r="G167" t="str">
        <f>_xlfn.XLOOKUP(Sales_Data!E167,Product_Lookup!$A$2:$A$14,Product_Lookup!$C$2:$C$14)</f>
        <v>Storage</v>
      </c>
      <c r="H167">
        <f>_xlfn.XLOOKUP(E167,Product_Lookup!$A$2:$A$14,Product_Lookup!$D$2:$D$14)</f>
        <v>26</v>
      </c>
      <c r="I167">
        <v>7</v>
      </c>
      <c r="J167">
        <f t="shared" si="12"/>
        <v>182</v>
      </c>
      <c r="K167" s="4">
        <v>0</v>
      </c>
      <c r="L167" s="7">
        <f t="shared" si="13"/>
        <v>0</v>
      </c>
      <c r="M167" s="7">
        <f t="shared" si="14"/>
        <v>182</v>
      </c>
      <c r="N167" s="7">
        <f>_xlfn.XLOOKUP(E167,Product_Lookup!$A$2:$A$14,Product_Lookup!$E$2:$E$14)</f>
        <v>11</v>
      </c>
      <c r="O167" s="7">
        <f t="shared" si="15"/>
        <v>77</v>
      </c>
      <c r="P167" s="7">
        <f t="shared" si="16"/>
        <v>105</v>
      </c>
      <c r="Q167" s="10">
        <f t="shared" si="17"/>
        <v>0.57692307692307687</v>
      </c>
      <c r="R167" t="s">
        <v>13</v>
      </c>
      <c r="S167" t="s">
        <v>39</v>
      </c>
    </row>
    <row r="168" spans="1:19">
      <c r="A168" t="s">
        <v>207</v>
      </c>
      <c r="B168" s="3">
        <v>46099</v>
      </c>
      <c r="C168" t="s">
        <v>29</v>
      </c>
      <c r="D168" t="s">
        <v>11</v>
      </c>
      <c r="E168" t="s">
        <v>25</v>
      </c>
      <c r="F168" t="str">
        <f>_xlfn.XLOOKUP(E168,Product_Lookup!$A$2:$A$14,Product_Lookup!$B$2:$B$14)</f>
        <v>Table Lamp</v>
      </c>
      <c r="G168" t="str">
        <f>_xlfn.XLOOKUP(Sales_Data!E168,Product_Lookup!$A$2:$A$14,Product_Lookup!$C$2:$C$14)</f>
        <v>Lighting</v>
      </c>
      <c r="H168">
        <f>_xlfn.XLOOKUP(E168,Product_Lookup!$A$2:$A$14,Product_Lookup!$D$2:$D$14)</f>
        <v>62</v>
      </c>
      <c r="I168">
        <v>4</v>
      </c>
      <c r="J168">
        <f t="shared" si="12"/>
        <v>248</v>
      </c>
      <c r="K168" s="4">
        <v>0</v>
      </c>
      <c r="L168" s="7">
        <f t="shared" si="13"/>
        <v>0</v>
      </c>
      <c r="M168" s="7">
        <f t="shared" si="14"/>
        <v>248</v>
      </c>
      <c r="N168" s="7">
        <f>_xlfn.XLOOKUP(E168,Product_Lookup!$A$2:$A$14,Product_Lookup!$E$2:$E$14)</f>
        <v>31</v>
      </c>
      <c r="O168" s="7">
        <f t="shared" si="15"/>
        <v>124</v>
      </c>
      <c r="P168" s="7">
        <f t="shared" si="16"/>
        <v>124</v>
      </c>
      <c r="Q168" s="10">
        <f t="shared" si="17"/>
        <v>0.5</v>
      </c>
      <c r="R168" t="s">
        <v>21</v>
      </c>
      <c r="S168" t="s">
        <v>18</v>
      </c>
    </row>
    <row r="169" spans="1:19">
      <c r="A169" t="s">
        <v>208</v>
      </c>
      <c r="B169" s="3">
        <v>46057</v>
      </c>
      <c r="C169" t="s">
        <v>24</v>
      </c>
      <c r="D169" t="s">
        <v>11</v>
      </c>
      <c r="E169" t="s">
        <v>32</v>
      </c>
      <c r="F169" t="str">
        <f>_xlfn.XLOOKUP(E169,Product_Lookup!$A$2:$A$14,Product_Lookup!$B$2:$B$14)</f>
        <v>Sofa</v>
      </c>
      <c r="G169" t="str">
        <f>_xlfn.XLOOKUP(Sales_Data!E169,Product_Lookup!$A$2:$A$14,Product_Lookup!$C$2:$C$14)</f>
        <v>Furniture</v>
      </c>
      <c r="H169">
        <f>_xlfn.XLOOKUP(E169,Product_Lookup!$A$2:$A$14,Product_Lookup!$D$2:$D$14)</f>
        <v>420</v>
      </c>
      <c r="I169">
        <v>2</v>
      </c>
      <c r="J169">
        <f t="shared" si="12"/>
        <v>840</v>
      </c>
      <c r="K169" s="4">
        <v>0</v>
      </c>
      <c r="L169" s="7">
        <f t="shared" si="13"/>
        <v>0</v>
      </c>
      <c r="M169" s="7">
        <f t="shared" si="14"/>
        <v>840</v>
      </c>
      <c r="N169" s="7">
        <f>_xlfn.XLOOKUP(E169,Product_Lookup!$A$2:$A$14,Product_Lookup!$E$2:$E$14)</f>
        <v>280</v>
      </c>
      <c r="O169" s="7">
        <f t="shared" si="15"/>
        <v>560</v>
      </c>
      <c r="P169" s="7">
        <f t="shared" si="16"/>
        <v>280</v>
      </c>
      <c r="Q169" s="10">
        <f t="shared" si="17"/>
        <v>0.33333333333333331</v>
      </c>
      <c r="R169" t="s">
        <v>13</v>
      </c>
      <c r="S169" t="s">
        <v>22</v>
      </c>
    </row>
    <row r="170" spans="1:19">
      <c r="A170" t="s">
        <v>209</v>
      </c>
      <c r="B170" s="3">
        <v>46039</v>
      </c>
      <c r="C170" t="s">
        <v>24</v>
      </c>
      <c r="D170" t="s">
        <v>11</v>
      </c>
      <c r="E170" t="s">
        <v>98</v>
      </c>
      <c r="F170" t="str">
        <f>_xlfn.XLOOKUP(E170,Product_Lookup!$A$2:$A$14,Product_Lookup!$B$2:$B$14)</f>
        <v>Blender</v>
      </c>
      <c r="G170" t="str">
        <f>_xlfn.XLOOKUP(Sales_Data!E170,Product_Lookup!$A$2:$A$14,Product_Lookup!$C$2:$C$14)</f>
        <v>Kitchenware</v>
      </c>
      <c r="H170">
        <f>_xlfn.XLOOKUP(E170,Product_Lookup!$A$2:$A$14,Product_Lookup!$D$2:$D$14)</f>
        <v>75</v>
      </c>
      <c r="I170">
        <v>7</v>
      </c>
      <c r="J170">
        <f t="shared" si="12"/>
        <v>525</v>
      </c>
      <c r="K170" s="4">
        <v>0.05</v>
      </c>
      <c r="L170" s="7">
        <f t="shared" si="13"/>
        <v>26.25</v>
      </c>
      <c r="M170" s="7">
        <f t="shared" si="14"/>
        <v>498.75</v>
      </c>
      <c r="N170" s="7">
        <f>_xlfn.XLOOKUP(E170,Product_Lookup!$A$2:$A$14,Product_Lookup!$E$2:$E$14)</f>
        <v>43</v>
      </c>
      <c r="O170" s="7">
        <f t="shared" si="15"/>
        <v>301</v>
      </c>
      <c r="P170" s="7">
        <f t="shared" si="16"/>
        <v>197.75</v>
      </c>
      <c r="Q170" s="10">
        <f t="shared" si="17"/>
        <v>0.39649122807017545</v>
      </c>
      <c r="R170" t="s">
        <v>13</v>
      </c>
      <c r="S170" t="s">
        <v>42</v>
      </c>
    </row>
    <row r="171" spans="1:19">
      <c r="A171" t="s">
        <v>210</v>
      </c>
      <c r="B171" s="3">
        <v>46190</v>
      </c>
      <c r="C171" t="s">
        <v>10</v>
      </c>
      <c r="D171" t="s">
        <v>11</v>
      </c>
      <c r="E171" t="s">
        <v>41</v>
      </c>
      <c r="F171" t="str">
        <f>_xlfn.XLOOKUP(E171,Product_Lookup!$A$2:$A$14,Product_Lookup!$B$2:$B$14)</f>
        <v>Floor Lamp</v>
      </c>
      <c r="G171" t="str">
        <f>_xlfn.XLOOKUP(Sales_Data!E171,Product_Lookup!$A$2:$A$14,Product_Lookup!$C$2:$C$14)</f>
        <v>Lighting</v>
      </c>
      <c r="H171">
        <f>_xlfn.XLOOKUP(E171,Product_Lookup!$A$2:$A$14,Product_Lookup!$D$2:$D$14)</f>
        <v>125</v>
      </c>
      <c r="I171">
        <v>5</v>
      </c>
      <c r="J171">
        <f t="shared" si="12"/>
        <v>625</v>
      </c>
      <c r="K171" s="4">
        <v>0</v>
      </c>
      <c r="L171" s="7">
        <f t="shared" si="13"/>
        <v>0</v>
      </c>
      <c r="M171" s="7">
        <f t="shared" si="14"/>
        <v>625</v>
      </c>
      <c r="N171" s="7">
        <f>_xlfn.XLOOKUP(E171,Product_Lookup!$A$2:$A$14,Product_Lookup!$E$2:$E$14)</f>
        <v>73</v>
      </c>
      <c r="O171" s="7">
        <f t="shared" si="15"/>
        <v>365</v>
      </c>
      <c r="P171" s="7">
        <f t="shared" si="16"/>
        <v>260</v>
      </c>
      <c r="Q171" s="10">
        <f t="shared" si="17"/>
        <v>0.41599999999999998</v>
      </c>
      <c r="R171" t="s">
        <v>21</v>
      </c>
      <c r="S171" t="s">
        <v>48</v>
      </c>
    </row>
    <row r="172" spans="1:19">
      <c r="A172" t="s">
        <v>211</v>
      </c>
      <c r="B172" s="3">
        <v>46091</v>
      </c>
      <c r="C172" t="s">
        <v>10</v>
      </c>
      <c r="D172" t="s">
        <v>16</v>
      </c>
      <c r="E172" t="s">
        <v>27</v>
      </c>
      <c r="F172" t="str">
        <f>_xlfn.XLOOKUP(E172,Product_Lookup!$A$2:$A$14,Product_Lookup!$B$2:$B$14)</f>
        <v>Kettle</v>
      </c>
      <c r="G172" t="str">
        <f>_xlfn.XLOOKUP(Sales_Data!E172,Product_Lookup!$A$2:$A$14,Product_Lookup!$C$2:$C$14)</f>
        <v>Kitchenware</v>
      </c>
      <c r="H172">
        <f>_xlfn.XLOOKUP(E172,Product_Lookup!$A$2:$A$14,Product_Lookup!$D$2:$D$14)</f>
        <v>38</v>
      </c>
      <c r="I172">
        <v>5</v>
      </c>
      <c r="J172">
        <f t="shared" si="12"/>
        <v>190</v>
      </c>
      <c r="K172" s="4">
        <v>0.05</v>
      </c>
      <c r="L172" s="7">
        <f t="shared" si="13"/>
        <v>9.5</v>
      </c>
      <c r="M172" s="7">
        <f t="shared" si="14"/>
        <v>180.5</v>
      </c>
      <c r="N172" s="7">
        <f>_xlfn.XLOOKUP(E172,Product_Lookup!$A$2:$A$14,Product_Lookup!$E$2:$E$14)</f>
        <v>21</v>
      </c>
      <c r="O172" s="7">
        <f t="shared" si="15"/>
        <v>105</v>
      </c>
      <c r="P172" s="7">
        <f t="shared" si="16"/>
        <v>75.5</v>
      </c>
      <c r="Q172" s="10">
        <f t="shared" si="17"/>
        <v>0.4182825484764543</v>
      </c>
      <c r="R172" t="s">
        <v>13</v>
      </c>
      <c r="S172" t="s">
        <v>14</v>
      </c>
    </row>
    <row r="173" spans="1:19">
      <c r="A173" t="s">
        <v>212</v>
      </c>
      <c r="B173" s="3">
        <v>46103</v>
      </c>
      <c r="C173" t="s">
        <v>29</v>
      </c>
      <c r="D173" t="s">
        <v>20</v>
      </c>
      <c r="E173" t="s">
        <v>67</v>
      </c>
      <c r="F173" t="str">
        <f>_xlfn.XLOOKUP(E173,Product_Lookup!$A$2:$A$14,Product_Lookup!$B$2:$B$14)</f>
        <v>Rug</v>
      </c>
      <c r="G173" t="str">
        <f>_xlfn.XLOOKUP(Sales_Data!E173,Product_Lookup!$A$2:$A$14,Product_Lookup!$C$2:$C$14)</f>
        <v>Home Accessories</v>
      </c>
      <c r="H173">
        <f>_xlfn.XLOOKUP(E173,Product_Lookup!$A$2:$A$14,Product_Lookup!$D$2:$D$14)</f>
        <v>145</v>
      </c>
      <c r="I173">
        <v>4</v>
      </c>
      <c r="J173">
        <f t="shared" si="12"/>
        <v>580</v>
      </c>
      <c r="K173" s="4">
        <v>0</v>
      </c>
      <c r="L173" s="7">
        <f t="shared" si="13"/>
        <v>0</v>
      </c>
      <c r="M173" s="7">
        <f t="shared" si="14"/>
        <v>580</v>
      </c>
      <c r="N173" s="7">
        <f>_xlfn.XLOOKUP(E173,Product_Lookup!$A$2:$A$14,Product_Lookup!$E$2:$E$14)</f>
        <v>88</v>
      </c>
      <c r="O173" s="7">
        <f t="shared" si="15"/>
        <v>352</v>
      </c>
      <c r="P173" s="7">
        <f t="shared" si="16"/>
        <v>228</v>
      </c>
      <c r="Q173" s="10">
        <f t="shared" si="17"/>
        <v>0.39310344827586208</v>
      </c>
      <c r="R173" t="s">
        <v>13</v>
      </c>
      <c r="S173" t="s">
        <v>48</v>
      </c>
    </row>
    <row r="174" spans="1:19">
      <c r="A174" t="s">
        <v>213</v>
      </c>
      <c r="B174" s="3">
        <v>46193</v>
      </c>
      <c r="C174" t="s">
        <v>24</v>
      </c>
      <c r="D174" t="s">
        <v>11</v>
      </c>
      <c r="E174" t="s">
        <v>67</v>
      </c>
      <c r="F174" t="str">
        <f>_xlfn.XLOOKUP(E174,Product_Lookup!$A$2:$A$14,Product_Lookup!$B$2:$B$14)</f>
        <v>Rug</v>
      </c>
      <c r="G174" t="str">
        <f>_xlfn.XLOOKUP(Sales_Data!E174,Product_Lookup!$A$2:$A$14,Product_Lookup!$C$2:$C$14)</f>
        <v>Home Accessories</v>
      </c>
      <c r="H174">
        <f>_xlfn.XLOOKUP(E174,Product_Lookup!$A$2:$A$14,Product_Lookup!$D$2:$D$14)</f>
        <v>145</v>
      </c>
      <c r="I174">
        <v>6</v>
      </c>
      <c r="J174">
        <f t="shared" si="12"/>
        <v>870</v>
      </c>
      <c r="K174" s="4">
        <v>0.05</v>
      </c>
      <c r="L174" s="7">
        <f t="shared" si="13"/>
        <v>43.5</v>
      </c>
      <c r="M174" s="7">
        <f t="shared" si="14"/>
        <v>826.5</v>
      </c>
      <c r="N174" s="7">
        <f>_xlfn.XLOOKUP(E174,Product_Lookup!$A$2:$A$14,Product_Lookup!$E$2:$E$14)</f>
        <v>88</v>
      </c>
      <c r="O174" s="7">
        <f t="shared" si="15"/>
        <v>528</v>
      </c>
      <c r="P174" s="7">
        <f t="shared" si="16"/>
        <v>298.5</v>
      </c>
      <c r="Q174" s="10">
        <f t="shared" si="17"/>
        <v>0.36116152450090744</v>
      </c>
      <c r="R174" t="s">
        <v>13</v>
      </c>
      <c r="S174" t="s">
        <v>18</v>
      </c>
    </row>
    <row r="175" spans="1:19">
      <c r="A175" t="s">
        <v>214</v>
      </c>
      <c r="B175" s="3">
        <v>46029</v>
      </c>
      <c r="C175" t="s">
        <v>44</v>
      </c>
      <c r="D175" t="s">
        <v>16</v>
      </c>
      <c r="E175" t="s">
        <v>25</v>
      </c>
      <c r="F175" t="str">
        <f>_xlfn.XLOOKUP(E175,Product_Lookup!$A$2:$A$14,Product_Lookup!$B$2:$B$14)</f>
        <v>Table Lamp</v>
      </c>
      <c r="G175" t="str">
        <f>_xlfn.XLOOKUP(Sales_Data!E175,Product_Lookup!$A$2:$A$14,Product_Lookup!$C$2:$C$14)</f>
        <v>Lighting</v>
      </c>
      <c r="H175">
        <f>_xlfn.XLOOKUP(E175,Product_Lookup!$A$2:$A$14,Product_Lookup!$D$2:$D$14)</f>
        <v>62</v>
      </c>
      <c r="I175">
        <v>7</v>
      </c>
      <c r="J175">
        <f t="shared" si="12"/>
        <v>434</v>
      </c>
      <c r="K175" s="4">
        <v>0.05</v>
      </c>
      <c r="L175" s="7">
        <f t="shared" si="13"/>
        <v>21.700000000000003</v>
      </c>
      <c r="M175" s="7">
        <f t="shared" si="14"/>
        <v>412.3</v>
      </c>
      <c r="N175" s="7">
        <f>_xlfn.XLOOKUP(E175,Product_Lookup!$A$2:$A$14,Product_Lookup!$E$2:$E$14)</f>
        <v>31</v>
      </c>
      <c r="O175" s="7">
        <f t="shared" si="15"/>
        <v>217</v>
      </c>
      <c r="P175" s="7">
        <f t="shared" si="16"/>
        <v>195.3</v>
      </c>
      <c r="Q175" s="10">
        <f t="shared" si="17"/>
        <v>0.47368421052631582</v>
      </c>
      <c r="R175" t="s">
        <v>13</v>
      </c>
      <c r="S175" t="s">
        <v>18</v>
      </c>
    </row>
    <row r="176" spans="1:19">
      <c r="A176" t="s">
        <v>215</v>
      </c>
      <c r="B176" s="3">
        <v>46074</v>
      </c>
      <c r="C176" t="s">
        <v>44</v>
      </c>
      <c r="D176" t="s">
        <v>11</v>
      </c>
      <c r="E176" t="s">
        <v>17</v>
      </c>
      <c r="F176" t="str">
        <f>_xlfn.XLOOKUP(E176,Product_Lookup!$A$2:$A$14,Product_Lookup!$B$2:$B$14)</f>
        <v>Storage Box</v>
      </c>
      <c r="G176" t="str">
        <f>_xlfn.XLOOKUP(Sales_Data!E176,Product_Lookup!$A$2:$A$14,Product_Lookup!$C$2:$C$14)</f>
        <v>Storage</v>
      </c>
      <c r="H176">
        <f>_xlfn.XLOOKUP(E176,Product_Lookup!$A$2:$A$14,Product_Lookup!$D$2:$D$14)</f>
        <v>26</v>
      </c>
      <c r="I176">
        <v>3</v>
      </c>
      <c r="J176">
        <f t="shared" si="12"/>
        <v>78</v>
      </c>
      <c r="K176" s="4">
        <v>0.2</v>
      </c>
      <c r="L176" s="7">
        <f t="shared" si="13"/>
        <v>15.600000000000001</v>
      </c>
      <c r="M176" s="7">
        <f t="shared" si="14"/>
        <v>62.4</v>
      </c>
      <c r="N176" s="7">
        <f>_xlfn.XLOOKUP(E176,Product_Lookup!$A$2:$A$14,Product_Lookup!$E$2:$E$14)</f>
        <v>11</v>
      </c>
      <c r="O176" s="7">
        <f t="shared" si="15"/>
        <v>33</v>
      </c>
      <c r="P176" s="7">
        <f t="shared" si="16"/>
        <v>29.4</v>
      </c>
      <c r="Q176" s="10">
        <f t="shared" si="17"/>
        <v>0.47115384615384615</v>
      </c>
      <c r="R176" t="s">
        <v>13</v>
      </c>
      <c r="S176" t="s">
        <v>48</v>
      </c>
    </row>
    <row r="177" spans="1:19">
      <c r="A177" t="s">
        <v>216</v>
      </c>
      <c r="B177" s="3">
        <v>46115</v>
      </c>
      <c r="C177" t="s">
        <v>10</v>
      </c>
      <c r="D177" t="s">
        <v>16</v>
      </c>
      <c r="E177" t="s">
        <v>25</v>
      </c>
      <c r="F177" t="str">
        <f>_xlfn.XLOOKUP(E177,Product_Lookup!$A$2:$A$14,Product_Lookup!$B$2:$B$14)</f>
        <v>Table Lamp</v>
      </c>
      <c r="G177" t="str">
        <f>_xlfn.XLOOKUP(Sales_Data!E177,Product_Lookup!$A$2:$A$14,Product_Lookup!$C$2:$C$14)</f>
        <v>Lighting</v>
      </c>
      <c r="H177">
        <f>_xlfn.XLOOKUP(E177,Product_Lookup!$A$2:$A$14,Product_Lookup!$D$2:$D$14)</f>
        <v>62</v>
      </c>
      <c r="I177">
        <v>2</v>
      </c>
      <c r="J177">
        <f t="shared" si="12"/>
        <v>124</v>
      </c>
      <c r="K177" s="4">
        <v>0</v>
      </c>
      <c r="L177" s="7">
        <f t="shared" si="13"/>
        <v>0</v>
      </c>
      <c r="M177" s="7">
        <f t="shared" si="14"/>
        <v>124</v>
      </c>
      <c r="N177" s="7">
        <f>_xlfn.XLOOKUP(E177,Product_Lookup!$A$2:$A$14,Product_Lookup!$E$2:$E$14)</f>
        <v>31</v>
      </c>
      <c r="O177" s="7">
        <f t="shared" si="15"/>
        <v>62</v>
      </c>
      <c r="P177" s="7">
        <f t="shared" si="16"/>
        <v>62</v>
      </c>
      <c r="Q177" s="10">
        <f t="shared" si="17"/>
        <v>0.5</v>
      </c>
      <c r="R177" t="s">
        <v>13</v>
      </c>
      <c r="S177" t="s">
        <v>33</v>
      </c>
    </row>
    <row r="178" spans="1:19">
      <c r="A178" t="s">
        <v>217</v>
      </c>
      <c r="B178" s="3">
        <v>46044</v>
      </c>
      <c r="C178" t="s">
        <v>10</v>
      </c>
      <c r="D178" t="s">
        <v>11</v>
      </c>
      <c r="E178" t="s">
        <v>76</v>
      </c>
      <c r="F178" t="str">
        <f>_xlfn.XLOOKUP(E178,Product_Lookup!$A$2:$A$14,Product_Lookup!$B$2:$B$14)</f>
        <v>Cookware Set</v>
      </c>
      <c r="G178" t="str">
        <f>_xlfn.XLOOKUP(Sales_Data!E178,Product_Lookup!$A$2:$A$14,Product_Lookup!$C$2:$C$14)</f>
        <v>Kitchenware</v>
      </c>
      <c r="H178">
        <f>_xlfn.XLOOKUP(E178,Product_Lookup!$A$2:$A$14,Product_Lookup!$D$2:$D$14)</f>
        <v>110</v>
      </c>
      <c r="I178">
        <v>3</v>
      </c>
      <c r="J178">
        <f t="shared" si="12"/>
        <v>330</v>
      </c>
      <c r="K178" s="4">
        <v>0</v>
      </c>
      <c r="L178" s="7">
        <f t="shared" si="13"/>
        <v>0</v>
      </c>
      <c r="M178" s="7">
        <f t="shared" si="14"/>
        <v>330</v>
      </c>
      <c r="N178" s="7">
        <f>_xlfn.XLOOKUP(E178,Product_Lookup!$A$2:$A$14,Product_Lookup!$E$2:$E$14)</f>
        <v>65</v>
      </c>
      <c r="O178" s="7">
        <f t="shared" si="15"/>
        <v>195</v>
      </c>
      <c r="P178" s="7">
        <f t="shared" si="16"/>
        <v>135</v>
      </c>
      <c r="Q178" s="10">
        <f t="shared" si="17"/>
        <v>0.40909090909090912</v>
      </c>
      <c r="R178" t="s">
        <v>13</v>
      </c>
      <c r="S178" t="s">
        <v>18</v>
      </c>
    </row>
    <row r="179" spans="1:19">
      <c r="A179" t="s">
        <v>218</v>
      </c>
      <c r="B179" s="3">
        <v>46040</v>
      </c>
      <c r="C179" t="s">
        <v>10</v>
      </c>
      <c r="D179" t="s">
        <v>20</v>
      </c>
      <c r="E179" t="s">
        <v>32</v>
      </c>
      <c r="F179" t="str">
        <f>_xlfn.XLOOKUP(E179,Product_Lookup!$A$2:$A$14,Product_Lookup!$B$2:$B$14)</f>
        <v>Sofa</v>
      </c>
      <c r="G179" t="str">
        <f>_xlfn.XLOOKUP(Sales_Data!E179,Product_Lookup!$A$2:$A$14,Product_Lookup!$C$2:$C$14)</f>
        <v>Furniture</v>
      </c>
      <c r="H179">
        <f>_xlfn.XLOOKUP(E179,Product_Lookup!$A$2:$A$14,Product_Lookup!$D$2:$D$14)</f>
        <v>420</v>
      </c>
      <c r="I179">
        <v>2</v>
      </c>
      <c r="J179">
        <f t="shared" si="12"/>
        <v>840</v>
      </c>
      <c r="K179" s="4">
        <v>0.05</v>
      </c>
      <c r="L179" s="7">
        <f t="shared" si="13"/>
        <v>42</v>
      </c>
      <c r="M179" s="7">
        <f t="shared" si="14"/>
        <v>798</v>
      </c>
      <c r="N179" s="7">
        <f>_xlfn.XLOOKUP(E179,Product_Lookup!$A$2:$A$14,Product_Lookup!$E$2:$E$14)</f>
        <v>280</v>
      </c>
      <c r="O179" s="7">
        <f t="shared" si="15"/>
        <v>560</v>
      </c>
      <c r="P179" s="7">
        <f t="shared" si="16"/>
        <v>238</v>
      </c>
      <c r="Q179" s="10">
        <f t="shared" si="17"/>
        <v>0.2982456140350877</v>
      </c>
      <c r="R179" t="s">
        <v>21</v>
      </c>
      <c r="S179" t="s">
        <v>48</v>
      </c>
    </row>
    <row r="180" spans="1:19">
      <c r="A180" t="s">
        <v>219</v>
      </c>
      <c r="B180" s="3">
        <v>46061</v>
      </c>
      <c r="C180" t="s">
        <v>29</v>
      </c>
      <c r="D180" t="s">
        <v>20</v>
      </c>
      <c r="E180" t="s">
        <v>17</v>
      </c>
      <c r="F180" t="str">
        <f>_xlfn.XLOOKUP(E180,Product_Lookup!$A$2:$A$14,Product_Lookup!$B$2:$B$14)</f>
        <v>Storage Box</v>
      </c>
      <c r="G180" t="str">
        <f>_xlfn.XLOOKUP(Sales_Data!E180,Product_Lookup!$A$2:$A$14,Product_Lookup!$C$2:$C$14)</f>
        <v>Storage</v>
      </c>
      <c r="H180">
        <f>_xlfn.XLOOKUP(E180,Product_Lookup!$A$2:$A$14,Product_Lookup!$D$2:$D$14)</f>
        <v>26</v>
      </c>
      <c r="I180">
        <v>5</v>
      </c>
      <c r="J180">
        <f t="shared" si="12"/>
        <v>130</v>
      </c>
      <c r="K180" s="4">
        <v>0.05</v>
      </c>
      <c r="L180" s="7">
        <f t="shared" si="13"/>
        <v>6.5</v>
      </c>
      <c r="M180" s="7">
        <f t="shared" si="14"/>
        <v>123.5</v>
      </c>
      <c r="N180" s="7">
        <f>_xlfn.XLOOKUP(E180,Product_Lookup!$A$2:$A$14,Product_Lookup!$E$2:$E$14)</f>
        <v>11</v>
      </c>
      <c r="O180" s="7">
        <f t="shared" si="15"/>
        <v>55</v>
      </c>
      <c r="P180" s="7">
        <f t="shared" si="16"/>
        <v>68.5</v>
      </c>
      <c r="Q180" s="10">
        <f t="shared" si="17"/>
        <v>0.55465587044534415</v>
      </c>
      <c r="R180" t="s">
        <v>13</v>
      </c>
      <c r="S180" t="s">
        <v>48</v>
      </c>
    </row>
    <row r="181" spans="1:19">
      <c r="A181" t="s">
        <v>220</v>
      </c>
      <c r="B181" s="3">
        <v>46150</v>
      </c>
      <c r="C181" t="s">
        <v>44</v>
      </c>
      <c r="D181" t="s">
        <v>16</v>
      </c>
      <c r="E181" t="s">
        <v>67</v>
      </c>
      <c r="F181" t="str">
        <f>_xlfn.XLOOKUP(E181,Product_Lookup!$A$2:$A$14,Product_Lookup!$B$2:$B$14)</f>
        <v>Rug</v>
      </c>
      <c r="G181" t="str">
        <f>_xlfn.XLOOKUP(Sales_Data!E181,Product_Lookup!$A$2:$A$14,Product_Lookup!$C$2:$C$14)</f>
        <v>Home Accessories</v>
      </c>
      <c r="H181">
        <f>_xlfn.XLOOKUP(E181,Product_Lookup!$A$2:$A$14,Product_Lookup!$D$2:$D$14)</f>
        <v>145</v>
      </c>
      <c r="I181">
        <v>5</v>
      </c>
      <c r="J181">
        <f t="shared" si="12"/>
        <v>725</v>
      </c>
      <c r="K181" s="4">
        <v>0.05</v>
      </c>
      <c r="L181" s="7">
        <f t="shared" si="13"/>
        <v>36.25</v>
      </c>
      <c r="M181" s="7">
        <f t="shared" si="14"/>
        <v>688.75</v>
      </c>
      <c r="N181" s="7">
        <f>_xlfn.XLOOKUP(E181,Product_Lookup!$A$2:$A$14,Product_Lookup!$E$2:$E$14)</f>
        <v>88</v>
      </c>
      <c r="O181" s="7">
        <f t="shared" si="15"/>
        <v>440</v>
      </c>
      <c r="P181" s="7">
        <f t="shared" si="16"/>
        <v>248.75</v>
      </c>
      <c r="Q181" s="10">
        <f t="shared" si="17"/>
        <v>0.36116152450090744</v>
      </c>
      <c r="R181" t="s">
        <v>13</v>
      </c>
      <c r="S181" t="s">
        <v>14</v>
      </c>
    </row>
    <row r="182" spans="1:19">
      <c r="A182" t="s">
        <v>221</v>
      </c>
      <c r="B182" s="3">
        <v>46043</v>
      </c>
      <c r="C182" t="s">
        <v>10</v>
      </c>
      <c r="D182" t="s">
        <v>11</v>
      </c>
      <c r="E182" t="s">
        <v>30</v>
      </c>
      <c r="F182" t="str">
        <f>_xlfn.XLOOKUP(E182,Product_Lookup!$A$2:$A$14,Product_Lookup!$B$2:$B$14)</f>
        <v>Dining Chair</v>
      </c>
      <c r="G182" t="str">
        <f>_xlfn.XLOOKUP(Sales_Data!E182,Product_Lookup!$A$2:$A$14,Product_Lookup!$C$2:$C$14)</f>
        <v>Furniture</v>
      </c>
      <c r="H182">
        <f>_xlfn.XLOOKUP(E182,Product_Lookup!$A$2:$A$14,Product_Lookup!$D$2:$D$14)</f>
        <v>95</v>
      </c>
      <c r="I182">
        <v>1</v>
      </c>
      <c r="J182">
        <f t="shared" si="12"/>
        <v>95</v>
      </c>
      <c r="K182" s="4">
        <v>0.05</v>
      </c>
      <c r="L182" s="7">
        <f t="shared" si="13"/>
        <v>4.75</v>
      </c>
      <c r="M182" s="7">
        <f t="shared" si="14"/>
        <v>90.25</v>
      </c>
      <c r="N182" s="7">
        <f>_xlfn.XLOOKUP(E182,Product_Lookup!$A$2:$A$14,Product_Lookup!$E$2:$E$14)</f>
        <v>54</v>
      </c>
      <c r="O182" s="7">
        <f t="shared" si="15"/>
        <v>54</v>
      </c>
      <c r="P182" s="7">
        <f t="shared" si="16"/>
        <v>36.25</v>
      </c>
      <c r="Q182" s="10">
        <f t="shared" si="17"/>
        <v>0.40166204986149584</v>
      </c>
      <c r="R182" t="s">
        <v>13</v>
      </c>
      <c r="S182" t="s">
        <v>14</v>
      </c>
    </row>
    <row r="183" spans="1:19">
      <c r="A183" t="s">
        <v>222</v>
      </c>
      <c r="B183" s="3">
        <v>46075</v>
      </c>
      <c r="C183" t="s">
        <v>10</v>
      </c>
      <c r="D183" t="s">
        <v>16</v>
      </c>
      <c r="E183" t="s">
        <v>54</v>
      </c>
      <c r="F183" t="str">
        <f>_xlfn.XLOOKUP(E183,Product_Lookup!$A$2:$A$14,Product_Lookup!$B$2:$B$14)</f>
        <v>Wall Mirror</v>
      </c>
      <c r="G183" t="str">
        <f>_xlfn.XLOOKUP(Sales_Data!E183,Product_Lookup!$A$2:$A$14,Product_Lookup!$C$2:$C$14)</f>
        <v>Home Accessories</v>
      </c>
      <c r="H183">
        <f>_xlfn.XLOOKUP(E183,Product_Lookup!$A$2:$A$14,Product_Lookup!$D$2:$D$14)</f>
        <v>85</v>
      </c>
      <c r="I183">
        <v>6</v>
      </c>
      <c r="J183">
        <f t="shared" si="12"/>
        <v>510</v>
      </c>
      <c r="K183" s="4">
        <v>0.05</v>
      </c>
      <c r="L183" s="7">
        <f t="shared" si="13"/>
        <v>25.5</v>
      </c>
      <c r="M183" s="7">
        <f t="shared" si="14"/>
        <v>484.5</v>
      </c>
      <c r="N183" s="7">
        <f>_xlfn.XLOOKUP(E183,Product_Lookup!$A$2:$A$14,Product_Lookup!$E$2:$E$14)</f>
        <v>41</v>
      </c>
      <c r="O183" s="7">
        <f t="shared" si="15"/>
        <v>246</v>
      </c>
      <c r="P183" s="7">
        <f t="shared" si="16"/>
        <v>238.5</v>
      </c>
      <c r="Q183" s="10">
        <f t="shared" si="17"/>
        <v>0.49226006191950467</v>
      </c>
      <c r="R183" t="s">
        <v>13</v>
      </c>
      <c r="S183" t="s">
        <v>39</v>
      </c>
    </row>
    <row r="184" spans="1:19">
      <c r="A184" t="s">
        <v>223</v>
      </c>
      <c r="B184" s="3">
        <v>46180</v>
      </c>
      <c r="C184" t="s">
        <v>29</v>
      </c>
      <c r="D184" t="s">
        <v>16</v>
      </c>
      <c r="E184" t="s">
        <v>12</v>
      </c>
      <c r="F184" t="str">
        <f>_xlfn.XLOOKUP(E184,Product_Lookup!$A$2:$A$14,Product_Lookup!$B$2:$B$14)</f>
        <v>Desk</v>
      </c>
      <c r="G184" t="str">
        <f>_xlfn.XLOOKUP(Sales_Data!E184,Product_Lookup!$A$2:$A$14,Product_Lookup!$C$2:$C$14)</f>
        <v>Furniture</v>
      </c>
      <c r="H184">
        <f>_xlfn.XLOOKUP(E184,Product_Lookup!$A$2:$A$14,Product_Lookup!$D$2:$D$14)</f>
        <v>210</v>
      </c>
      <c r="I184">
        <v>4</v>
      </c>
      <c r="J184">
        <f t="shared" si="12"/>
        <v>840</v>
      </c>
      <c r="K184" s="4">
        <v>0.05</v>
      </c>
      <c r="L184" s="7">
        <f t="shared" si="13"/>
        <v>42</v>
      </c>
      <c r="M184" s="7">
        <f t="shared" si="14"/>
        <v>798</v>
      </c>
      <c r="N184" s="7">
        <f>_xlfn.XLOOKUP(E184,Product_Lookup!$A$2:$A$14,Product_Lookup!$E$2:$E$14)</f>
        <v>132</v>
      </c>
      <c r="O184" s="7">
        <f t="shared" si="15"/>
        <v>528</v>
      </c>
      <c r="P184" s="7">
        <f t="shared" si="16"/>
        <v>270</v>
      </c>
      <c r="Q184" s="10">
        <f t="shared" si="17"/>
        <v>0.33834586466165412</v>
      </c>
      <c r="R184" t="s">
        <v>13</v>
      </c>
      <c r="S184" t="s">
        <v>22</v>
      </c>
    </row>
    <row r="185" spans="1:19">
      <c r="A185" t="s">
        <v>224</v>
      </c>
      <c r="B185" s="3">
        <v>46118</v>
      </c>
      <c r="C185" t="s">
        <v>10</v>
      </c>
      <c r="D185" t="s">
        <v>11</v>
      </c>
      <c r="E185" t="s">
        <v>17</v>
      </c>
      <c r="F185" t="str">
        <f>_xlfn.XLOOKUP(E185,Product_Lookup!$A$2:$A$14,Product_Lookup!$B$2:$B$14)</f>
        <v>Storage Box</v>
      </c>
      <c r="G185" t="str">
        <f>_xlfn.XLOOKUP(Sales_Data!E185,Product_Lookup!$A$2:$A$14,Product_Lookup!$C$2:$C$14)</f>
        <v>Storage</v>
      </c>
      <c r="H185">
        <f>_xlfn.XLOOKUP(E185,Product_Lookup!$A$2:$A$14,Product_Lookup!$D$2:$D$14)</f>
        <v>26</v>
      </c>
      <c r="I185">
        <v>1</v>
      </c>
      <c r="J185">
        <f t="shared" si="12"/>
        <v>26</v>
      </c>
      <c r="K185" s="4">
        <v>0.2</v>
      </c>
      <c r="L185" s="7">
        <f t="shared" si="13"/>
        <v>5.2</v>
      </c>
      <c r="M185" s="7">
        <f t="shared" si="14"/>
        <v>20.8</v>
      </c>
      <c r="N185" s="7">
        <f>_xlfn.XLOOKUP(E185,Product_Lookup!$A$2:$A$14,Product_Lookup!$E$2:$E$14)</f>
        <v>11</v>
      </c>
      <c r="O185" s="7">
        <f t="shared" si="15"/>
        <v>11</v>
      </c>
      <c r="P185" s="7">
        <f t="shared" si="16"/>
        <v>9.8000000000000007</v>
      </c>
      <c r="Q185" s="10">
        <f t="shared" si="17"/>
        <v>0.47115384615384615</v>
      </c>
      <c r="R185" t="s">
        <v>13</v>
      </c>
      <c r="S185" t="s">
        <v>22</v>
      </c>
    </row>
    <row r="186" spans="1:19">
      <c r="A186" t="s">
        <v>225</v>
      </c>
      <c r="B186" s="3">
        <v>46116</v>
      </c>
      <c r="C186" t="s">
        <v>10</v>
      </c>
      <c r="D186" t="s">
        <v>11</v>
      </c>
      <c r="E186" t="s">
        <v>27</v>
      </c>
      <c r="F186" t="str">
        <f>_xlfn.XLOOKUP(E186,Product_Lookup!$A$2:$A$14,Product_Lookup!$B$2:$B$14)</f>
        <v>Kettle</v>
      </c>
      <c r="G186" t="str">
        <f>_xlfn.XLOOKUP(Sales_Data!E186,Product_Lookup!$A$2:$A$14,Product_Lookup!$C$2:$C$14)</f>
        <v>Kitchenware</v>
      </c>
      <c r="H186">
        <f>_xlfn.XLOOKUP(E186,Product_Lookup!$A$2:$A$14,Product_Lookup!$D$2:$D$14)</f>
        <v>38</v>
      </c>
      <c r="I186">
        <v>3</v>
      </c>
      <c r="J186">
        <f t="shared" si="12"/>
        <v>114</v>
      </c>
      <c r="K186" s="4">
        <v>0.2</v>
      </c>
      <c r="L186" s="7">
        <f t="shared" si="13"/>
        <v>22.8</v>
      </c>
      <c r="M186" s="7">
        <f t="shared" si="14"/>
        <v>91.2</v>
      </c>
      <c r="N186" s="7">
        <f>_xlfn.XLOOKUP(E186,Product_Lookup!$A$2:$A$14,Product_Lookup!$E$2:$E$14)</f>
        <v>21</v>
      </c>
      <c r="O186" s="7">
        <f t="shared" si="15"/>
        <v>63</v>
      </c>
      <c r="P186" s="7">
        <f t="shared" si="16"/>
        <v>28.200000000000003</v>
      </c>
      <c r="Q186" s="10">
        <f t="shared" si="17"/>
        <v>0.30921052631578949</v>
      </c>
      <c r="R186" t="s">
        <v>13</v>
      </c>
      <c r="S186" t="s">
        <v>39</v>
      </c>
    </row>
    <row r="187" spans="1:19">
      <c r="A187" t="s">
        <v>226</v>
      </c>
      <c r="B187" s="3">
        <v>46104</v>
      </c>
      <c r="C187" t="s">
        <v>24</v>
      </c>
      <c r="D187" t="s">
        <v>11</v>
      </c>
      <c r="E187" t="s">
        <v>57</v>
      </c>
      <c r="F187" t="str">
        <f>_xlfn.XLOOKUP(E187,Product_Lookup!$A$2:$A$14,Product_Lookup!$B$2:$B$14)</f>
        <v>Shelving Unit</v>
      </c>
      <c r="G187" t="str">
        <f>_xlfn.XLOOKUP(Sales_Data!E187,Product_Lookup!$A$2:$A$14,Product_Lookup!$C$2:$C$14)</f>
        <v>Storage</v>
      </c>
      <c r="H187">
        <f>_xlfn.XLOOKUP(E187,Product_Lookup!$A$2:$A$14,Product_Lookup!$D$2:$D$14)</f>
        <v>115</v>
      </c>
      <c r="I187">
        <v>6</v>
      </c>
      <c r="J187">
        <f t="shared" si="12"/>
        <v>690</v>
      </c>
      <c r="K187" s="4">
        <v>0.2</v>
      </c>
      <c r="L187" s="7">
        <f t="shared" si="13"/>
        <v>138</v>
      </c>
      <c r="M187" s="7">
        <f t="shared" si="14"/>
        <v>552</v>
      </c>
      <c r="N187" s="7">
        <f>_xlfn.XLOOKUP(E187,Product_Lookup!$A$2:$A$14,Product_Lookup!$E$2:$E$14)</f>
        <v>67</v>
      </c>
      <c r="O187" s="7">
        <f t="shared" si="15"/>
        <v>402</v>
      </c>
      <c r="P187" s="7">
        <f t="shared" si="16"/>
        <v>150</v>
      </c>
      <c r="Q187" s="10">
        <f t="shared" si="17"/>
        <v>0.27173913043478259</v>
      </c>
      <c r="R187" t="s">
        <v>13</v>
      </c>
      <c r="S187" t="s">
        <v>18</v>
      </c>
    </row>
    <row r="188" spans="1:19">
      <c r="A188" t="s">
        <v>227</v>
      </c>
      <c r="B188" s="3">
        <v>46104</v>
      </c>
      <c r="C188" t="s">
        <v>24</v>
      </c>
      <c r="D188" t="s">
        <v>11</v>
      </c>
      <c r="E188" t="s">
        <v>41</v>
      </c>
      <c r="F188" t="str">
        <f>_xlfn.XLOOKUP(E188,Product_Lookup!$A$2:$A$14,Product_Lookup!$B$2:$B$14)</f>
        <v>Floor Lamp</v>
      </c>
      <c r="G188" t="str">
        <f>_xlfn.XLOOKUP(Sales_Data!E188,Product_Lookup!$A$2:$A$14,Product_Lookup!$C$2:$C$14)</f>
        <v>Lighting</v>
      </c>
      <c r="H188">
        <f>_xlfn.XLOOKUP(E188,Product_Lookup!$A$2:$A$14,Product_Lookup!$D$2:$D$14)</f>
        <v>125</v>
      </c>
      <c r="I188">
        <v>3</v>
      </c>
      <c r="J188">
        <f t="shared" si="12"/>
        <v>375</v>
      </c>
      <c r="K188" s="4">
        <v>0.15</v>
      </c>
      <c r="L188" s="7">
        <f t="shared" si="13"/>
        <v>56.25</v>
      </c>
      <c r="M188" s="7">
        <f t="shared" si="14"/>
        <v>318.75</v>
      </c>
      <c r="N188" s="7">
        <f>_xlfn.XLOOKUP(E188,Product_Lookup!$A$2:$A$14,Product_Lookup!$E$2:$E$14)</f>
        <v>73</v>
      </c>
      <c r="O188" s="7">
        <f t="shared" si="15"/>
        <v>219</v>
      </c>
      <c r="P188" s="7">
        <f t="shared" si="16"/>
        <v>99.75</v>
      </c>
      <c r="Q188" s="10">
        <f t="shared" si="17"/>
        <v>0.31294117647058822</v>
      </c>
      <c r="R188" t="s">
        <v>13</v>
      </c>
      <c r="S188" t="s">
        <v>42</v>
      </c>
    </row>
    <row r="189" spans="1:19">
      <c r="A189" t="s">
        <v>228</v>
      </c>
      <c r="B189" s="3">
        <v>46199</v>
      </c>
      <c r="C189" t="s">
        <v>29</v>
      </c>
      <c r="D189" t="s">
        <v>11</v>
      </c>
      <c r="E189" t="s">
        <v>27</v>
      </c>
      <c r="F189" t="str">
        <f>_xlfn.XLOOKUP(E189,Product_Lookup!$A$2:$A$14,Product_Lookup!$B$2:$B$14)</f>
        <v>Kettle</v>
      </c>
      <c r="G189" t="str">
        <f>_xlfn.XLOOKUP(Sales_Data!E189,Product_Lookup!$A$2:$A$14,Product_Lookup!$C$2:$C$14)</f>
        <v>Kitchenware</v>
      </c>
      <c r="H189">
        <f>_xlfn.XLOOKUP(E189,Product_Lookup!$A$2:$A$14,Product_Lookup!$D$2:$D$14)</f>
        <v>38</v>
      </c>
      <c r="I189">
        <v>2</v>
      </c>
      <c r="J189">
        <f t="shared" si="12"/>
        <v>76</v>
      </c>
      <c r="K189" s="4">
        <v>0.05</v>
      </c>
      <c r="L189" s="7">
        <f t="shared" si="13"/>
        <v>3.8000000000000003</v>
      </c>
      <c r="M189" s="7">
        <f t="shared" si="14"/>
        <v>72.2</v>
      </c>
      <c r="N189" s="7">
        <f>_xlfn.XLOOKUP(E189,Product_Lookup!$A$2:$A$14,Product_Lookup!$E$2:$E$14)</f>
        <v>21</v>
      </c>
      <c r="O189" s="7">
        <f t="shared" si="15"/>
        <v>42</v>
      </c>
      <c r="P189" s="7">
        <f t="shared" si="16"/>
        <v>30.200000000000003</v>
      </c>
      <c r="Q189" s="10">
        <f t="shared" si="17"/>
        <v>0.4182825484764543</v>
      </c>
      <c r="R189" t="s">
        <v>21</v>
      </c>
      <c r="S189" t="s">
        <v>33</v>
      </c>
    </row>
    <row r="190" spans="1:19">
      <c r="A190" t="s">
        <v>229</v>
      </c>
      <c r="B190" s="3">
        <v>46067</v>
      </c>
      <c r="C190" t="s">
        <v>10</v>
      </c>
      <c r="D190" t="s">
        <v>11</v>
      </c>
      <c r="E190" t="s">
        <v>98</v>
      </c>
      <c r="F190" t="str">
        <f>_xlfn.XLOOKUP(E190,Product_Lookup!$A$2:$A$14,Product_Lookup!$B$2:$B$14)</f>
        <v>Blender</v>
      </c>
      <c r="G190" t="str">
        <f>_xlfn.XLOOKUP(Sales_Data!E190,Product_Lookup!$A$2:$A$14,Product_Lookup!$C$2:$C$14)</f>
        <v>Kitchenware</v>
      </c>
      <c r="H190">
        <f>_xlfn.XLOOKUP(E190,Product_Lookup!$A$2:$A$14,Product_Lookup!$D$2:$D$14)</f>
        <v>75</v>
      </c>
      <c r="I190">
        <v>2</v>
      </c>
      <c r="J190">
        <f t="shared" si="12"/>
        <v>150</v>
      </c>
      <c r="K190" s="4">
        <v>0.15</v>
      </c>
      <c r="L190" s="7">
        <f t="shared" si="13"/>
        <v>22.5</v>
      </c>
      <c r="M190" s="7">
        <f t="shared" si="14"/>
        <v>127.5</v>
      </c>
      <c r="N190" s="7">
        <f>_xlfn.XLOOKUP(E190,Product_Lookup!$A$2:$A$14,Product_Lookup!$E$2:$E$14)</f>
        <v>43</v>
      </c>
      <c r="O190" s="7">
        <f t="shared" si="15"/>
        <v>86</v>
      </c>
      <c r="P190" s="7">
        <f t="shared" si="16"/>
        <v>41.5</v>
      </c>
      <c r="Q190" s="10">
        <f t="shared" si="17"/>
        <v>0.32549019607843138</v>
      </c>
      <c r="R190" t="s">
        <v>13</v>
      </c>
      <c r="S190" t="s">
        <v>22</v>
      </c>
    </row>
    <row r="191" spans="1:19">
      <c r="A191" t="s">
        <v>230</v>
      </c>
      <c r="B191" s="3">
        <v>46157</v>
      </c>
      <c r="C191" t="s">
        <v>10</v>
      </c>
      <c r="D191" t="s">
        <v>11</v>
      </c>
      <c r="E191" t="s">
        <v>76</v>
      </c>
      <c r="F191" t="str">
        <f>_xlfn.XLOOKUP(E191,Product_Lookup!$A$2:$A$14,Product_Lookup!$B$2:$B$14)</f>
        <v>Cookware Set</v>
      </c>
      <c r="G191" t="str">
        <f>_xlfn.XLOOKUP(Sales_Data!E191,Product_Lookup!$A$2:$A$14,Product_Lookup!$C$2:$C$14)</f>
        <v>Kitchenware</v>
      </c>
      <c r="H191">
        <f>_xlfn.XLOOKUP(E191,Product_Lookup!$A$2:$A$14,Product_Lookup!$D$2:$D$14)</f>
        <v>110</v>
      </c>
      <c r="I191">
        <v>5</v>
      </c>
      <c r="J191">
        <f t="shared" si="12"/>
        <v>550</v>
      </c>
      <c r="K191" s="4">
        <v>0.05</v>
      </c>
      <c r="L191" s="7">
        <f t="shared" si="13"/>
        <v>27.5</v>
      </c>
      <c r="M191" s="7">
        <f t="shared" si="14"/>
        <v>522.5</v>
      </c>
      <c r="N191" s="7">
        <f>_xlfn.XLOOKUP(E191,Product_Lookup!$A$2:$A$14,Product_Lookup!$E$2:$E$14)</f>
        <v>65</v>
      </c>
      <c r="O191" s="7">
        <f t="shared" si="15"/>
        <v>325</v>
      </c>
      <c r="P191" s="7">
        <f t="shared" si="16"/>
        <v>197.5</v>
      </c>
      <c r="Q191" s="10">
        <f t="shared" si="17"/>
        <v>0.37799043062200954</v>
      </c>
      <c r="R191" t="s">
        <v>13</v>
      </c>
      <c r="S191" t="s">
        <v>39</v>
      </c>
    </row>
    <row r="192" spans="1:19">
      <c r="A192" t="s">
        <v>231</v>
      </c>
      <c r="B192" s="3">
        <v>46027</v>
      </c>
      <c r="C192" t="s">
        <v>24</v>
      </c>
      <c r="D192" t="s">
        <v>20</v>
      </c>
      <c r="E192" t="s">
        <v>67</v>
      </c>
      <c r="F192" t="str">
        <f>_xlfn.XLOOKUP(E192,Product_Lookup!$A$2:$A$14,Product_Lookup!$B$2:$B$14)</f>
        <v>Rug</v>
      </c>
      <c r="G192" t="str">
        <f>_xlfn.XLOOKUP(Sales_Data!E192,Product_Lookup!$A$2:$A$14,Product_Lookup!$C$2:$C$14)</f>
        <v>Home Accessories</v>
      </c>
      <c r="H192">
        <f>_xlfn.XLOOKUP(E192,Product_Lookup!$A$2:$A$14,Product_Lookup!$D$2:$D$14)</f>
        <v>145</v>
      </c>
      <c r="I192">
        <v>6</v>
      </c>
      <c r="J192">
        <f t="shared" si="12"/>
        <v>870</v>
      </c>
      <c r="K192" s="4">
        <v>0.1</v>
      </c>
      <c r="L192" s="7">
        <f t="shared" si="13"/>
        <v>87</v>
      </c>
      <c r="M192" s="7">
        <f t="shared" si="14"/>
        <v>783</v>
      </c>
      <c r="N192" s="7">
        <f>_xlfn.XLOOKUP(E192,Product_Lookup!$A$2:$A$14,Product_Lookup!$E$2:$E$14)</f>
        <v>88</v>
      </c>
      <c r="O192" s="7">
        <f t="shared" si="15"/>
        <v>528</v>
      </c>
      <c r="P192" s="7">
        <f t="shared" si="16"/>
        <v>255</v>
      </c>
      <c r="Q192" s="10">
        <f t="shared" si="17"/>
        <v>0.32567049808429116</v>
      </c>
      <c r="R192" t="s">
        <v>36</v>
      </c>
      <c r="S192" t="s">
        <v>22</v>
      </c>
    </row>
    <row r="193" spans="1:19">
      <c r="A193" t="s">
        <v>232</v>
      </c>
      <c r="B193" s="3">
        <v>46181</v>
      </c>
      <c r="C193" t="s">
        <v>10</v>
      </c>
      <c r="D193" t="s">
        <v>11</v>
      </c>
      <c r="E193" t="s">
        <v>45</v>
      </c>
      <c r="F193" t="str">
        <f>_xlfn.XLOOKUP(E193,Product_Lookup!$A$2:$A$14,Product_Lookup!$B$2:$B$14)</f>
        <v>Cushion Set</v>
      </c>
      <c r="G193" t="str">
        <f>_xlfn.XLOOKUP(Sales_Data!E193,Product_Lookup!$A$2:$A$14,Product_Lookup!$C$2:$C$14)</f>
        <v>Home Accessories</v>
      </c>
      <c r="H193">
        <f>_xlfn.XLOOKUP(E193,Product_Lookup!$A$2:$A$14,Product_Lookup!$D$2:$D$14)</f>
        <v>32</v>
      </c>
      <c r="I193">
        <v>7</v>
      </c>
      <c r="J193">
        <f t="shared" si="12"/>
        <v>224</v>
      </c>
      <c r="K193" s="4">
        <v>0.1</v>
      </c>
      <c r="L193" s="7">
        <f t="shared" si="13"/>
        <v>22.400000000000002</v>
      </c>
      <c r="M193" s="7">
        <f t="shared" si="14"/>
        <v>201.6</v>
      </c>
      <c r="N193" s="7">
        <f>_xlfn.XLOOKUP(E193,Product_Lookup!$A$2:$A$14,Product_Lookup!$E$2:$E$14)</f>
        <v>14</v>
      </c>
      <c r="O193" s="7">
        <f t="shared" si="15"/>
        <v>98</v>
      </c>
      <c r="P193" s="7">
        <f t="shared" si="16"/>
        <v>103.6</v>
      </c>
      <c r="Q193" s="10">
        <f t="shared" si="17"/>
        <v>0.51388888888888884</v>
      </c>
      <c r="R193" t="s">
        <v>13</v>
      </c>
      <c r="S193" t="s">
        <v>42</v>
      </c>
    </row>
    <row r="194" spans="1:19">
      <c r="A194" t="s">
        <v>233</v>
      </c>
      <c r="B194" s="3">
        <v>46040</v>
      </c>
      <c r="C194" t="s">
        <v>38</v>
      </c>
      <c r="D194" t="s">
        <v>20</v>
      </c>
      <c r="E194" t="s">
        <v>57</v>
      </c>
      <c r="F194" t="str">
        <f>_xlfn.XLOOKUP(E194,Product_Lookup!$A$2:$A$14,Product_Lookup!$B$2:$B$14)</f>
        <v>Shelving Unit</v>
      </c>
      <c r="G194" t="str">
        <f>_xlfn.XLOOKUP(Sales_Data!E194,Product_Lookup!$A$2:$A$14,Product_Lookup!$C$2:$C$14)</f>
        <v>Storage</v>
      </c>
      <c r="H194">
        <f>_xlfn.XLOOKUP(E194,Product_Lookup!$A$2:$A$14,Product_Lookup!$D$2:$D$14)</f>
        <v>115</v>
      </c>
      <c r="I194">
        <v>4</v>
      </c>
      <c r="J194">
        <f t="shared" si="12"/>
        <v>460</v>
      </c>
      <c r="K194" s="4">
        <v>0</v>
      </c>
      <c r="L194" s="7">
        <f t="shared" si="13"/>
        <v>0</v>
      </c>
      <c r="M194" s="7">
        <f t="shared" si="14"/>
        <v>460</v>
      </c>
      <c r="N194" s="7">
        <f>_xlfn.XLOOKUP(E194,Product_Lookup!$A$2:$A$14,Product_Lookup!$E$2:$E$14)</f>
        <v>67</v>
      </c>
      <c r="O194" s="7">
        <f t="shared" si="15"/>
        <v>268</v>
      </c>
      <c r="P194" s="7">
        <f t="shared" si="16"/>
        <v>192</v>
      </c>
      <c r="Q194" s="10">
        <f t="shared" si="17"/>
        <v>0.41739130434782606</v>
      </c>
      <c r="R194" t="s">
        <v>13</v>
      </c>
      <c r="S194" t="s">
        <v>42</v>
      </c>
    </row>
    <row r="195" spans="1:19">
      <c r="A195" t="s">
        <v>234</v>
      </c>
      <c r="B195" s="3">
        <v>46031</v>
      </c>
      <c r="C195" t="s">
        <v>10</v>
      </c>
      <c r="D195" t="s">
        <v>16</v>
      </c>
      <c r="E195" t="s">
        <v>45</v>
      </c>
      <c r="F195" t="str">
        <f>_xlfn.XLOOKUP(E195,Product_Lookup!$A$2:$A$14,Product_Lookup!$B$2:$B$14)</f>
        <v>Cushion Set</v>
      </c>
      <c r="G195" t="str">
        <f>_xlfn.XLOOKUP(Sales_Data!E195,Product_Lookup!$A$2:$A$14,Product_Lookup!$C$2:$C$14)</f>
        <v>Home Accessories</v>
      </c>
      <c r="H195">
        <f>_xlfn.XLOOKUP(E195,Product_Lookup!$A$2:$A$14,Product_Lookup!$D$2:$D$14)</f>
        <v>32</v>
      </c>
      <c r="I195">
        <v>1</v>
      </c>
      <c r="J195">
        <f t="shared" ref="J195:J258" si="18">H195*I195</f>
        <v>32</v>
      </c>
      <c r="K195" s="4">
        <v>0</v>
      </c>
      <c r="L195" s="7">
        <f t="shared" ref="L195:L258" si="19">J195*K195</f>
        <v>0</v>
      </c>
      <c r="M195" s="7">
        <f t="shared" ref="M195:M258" si="20">J195-L195</f>
        <v>32</v>
      </c>
      <c r="N195" s="7">
        <f>_xlfn.XLOOKUP(E195,Product_Lookup!$A$2:$A$14,Product_Lookup!$E$2:$E$14)</f>
        <v>14</v>
      </c>
      <c r="O195" s="7">
        <f t="shared" ref="O195:O258" si="21">N195*I195</f>
        <v>14</v>
      </c>
      <c r="P195" s="7">
        <f t="shared" ref="P195:P258" si="22">M195-O195</f>
        <v>18</v>
      </c>
      <c r="Q195" s="10">
        <f t="shared" ref="Q195:Q258" si="23">P195/M195</f>
        <v>0.5625</v>
      </c>
      <c r="R195" t="s">
        <v>13</v>
      </c>
      <c r="S195" t="s">
        <v>18</v>
      </c>
    </row>
    <row r="196" spans="1:19">
      <c r="A196" t="s">
        <v>235</v>
      </c>
      <c r="B196" s="3">
        <v>46025</v>
      </c>
      <c r="C196" t="s">
        <v>38</v>
      </c>
      <c r="D196" t="s">
        <v>16</v>
      </c>
      <c r="E196" t="s">
        <v>76</v>
      </c>
      <c r="F196" t="str">
        <f>_xlfn.XLOOKUP(E196,Product_Lookup!$A$2:$A$14,Product_Lookup!$B$2:$B$14)</f>
        <v>Cookware Set</v>
      </c>
      <c r="G196" t="str">
        <f>_xlfn.XLOOKUP(Sales_Data!E196,Product_Lookup!$A$2:$A$14,Product_Lookup!$C$2:$C$14)</f>
        <v>Kitchenware</v>
      </c>
      <c r="H196">
        <f>_xlfn.XLOOKUP(E196,Product_Lookup!$A$2:$A$14,Product_Lookup!$D$2:$D$14)</f>
        <v>110</v>
      </c>
      <c r="I196">
        <v>6</v>
      </c>
      <c r="J196">
        <f t="shared" si="18"/>
        <v>660</v>
      </c>
      <c r="K196" s="4">
        <v>0.25</v>
      </c>
      <c r="L196" s="7">
        <f t="shared" si="19"/>
        <v>165</v>
      </c>
      <c r="M196" s="7">
        <f t="shared" si="20"/>
        <v>495</v>
      </c>
      <c r="N196" s="7">
        <f>_xlfn.XLOOKUP(E196,Product_Lookup!$A$2:$A$14,Product_Lookup!$E$2:$E$14)</f>
        <v>65</v>
      </c>
      <c r="O196" s="7">
        <f t="shared" si="21"/>
        <v>390</v>
      </c>
      <c r="P196" s="7">
        <f t="shared" si="22"/>
        <v>105</v>
      </c>
      <c r="Q196" s="10">
        <f t="shared" si="23"/>
        <v>0.21212121212121213</v>
      </c>
      <c r="R196" t="s">
        <v>13</v>
      </c>
      <c r="S196" t="s">
        <v>39</v>
      </c>
    </row>
    <row r="197" spans="1:19">
      <c r="A197" t="s">
        <v>236</v>
      </c>
      <c r="B197" s="3">
        <v>46077</v>
      </c>
      <c r="C197" t="s">
        <v>29</v>
      </c>
      <c r="D197" t="s">
        <v>20</v>
      </c>
      <c r="E197" t="s">
        <v>30</v>
      </c>
      <c r="F197" t="str">
        <f>_xlfn.XLOOKUP(E197,Product_Lookup!$A$2:$A$14,Product_Lookup!$B$2:$B$14)</f>
        <v>Dining Chair</v>
      </c>
      <c r="G197" t="str">
        <f>_xlfn.XLOOKUP(Sales_Data!E197,Product_Lookup!$A$2:$A$14,Product_Lookup!$C$2:$C$14)</f>
        <v>Furniture</v>
      </c>
      <c r="H197">
        <f>_xlfn.XLOOKUP(E197,Product_Lookup!$A$2:$A$14,Product_Lookup!$D$2:$D$14)</f>
        <v>95</v>
      </c>
      <c r="I197">
        <v>1</v>
      </c>
      <c r="J197">
        <f t="shared" si="18"/>
        <v>95</v>
      </c>
      <c r="K197" s="4">
        <v>0</v>
      </c>
      <c r="L197" s="7">
        <f t="shared" si="19"/>
        <v>0</v>
      </c>
      <c r="M197" s="7">
        <f t="shared" si="20"/>
        <v>95</v>
      </c>
      <c r="N197" s="7">
        <f>_xlfn.XLOOKUP(E197,Product_Lookup!$A$2:$A$14,Product_Lookup!$E$2:$E$14)</f>
        <v>54</v>
      </c>
      <c r="O197" s="7">
        <f t="shared" si="21"/>
        <v>54</v>
      </c>
      <c r="P197" s="7">
        <f t="shared" si="22"/>
        <v>41</v>
      </c>
      <c r="Q197" s="10">
        <f t="shared" si="23"/>
        <v>0.43157894736842106</v>
      </c>
      <c r="R197" t="s">
        <v>13</v>
      </c>
      <c r="S197" t="s">
        <v>48</v>
      </c>
    </row>
    <row r="198" spans="1:19">
      <c r="A198" t="s">
        <v>237</v>
      </c>
      <c r="B198" s="3">
        <v>46171</v>
      </c>
      <c r="C198" t="s">
        <v>44</v>
      </c>
      <c r="D198" t="s">
        <v>20</v>
      </c>
      <c r="E198" t="s">
        <v>98</v>
      </c>
      <c r="F198" t="str">
        <f>_xlfn.XLOOKUP(E198,Product_Lookup!$A$2:$A$14,Product_Lookup!$B$2:$B$14)</f>
        <v>Blender</v>
      </c>
      <c r="G198" t="str">
        <f>_xlfn.XLOOKUP(Sales_Data!E198,Product_Lookup!$A$2:$A$14,Product_Lookup!$C$2:$C$14)</f>
        <v>Kitchenware</v>
      </c>
      <c r="H198">
        <f>_xlfn.XLOOKUP(E198,Product_Lookup!$A$2:$A$14,Product_Lookup!$D$2:$D$14)</f>
        <v>75</v>
      </c>
      <c r="I198">
        <v>5</v>
      </c>
      <c r="J198">
        <f t="shared" si="18"/>
        <v>375</v>
      </c>
      <c r="K198" s="4">
        <v>0</v>
      </c>
      <c r="L198" s="7">
        <f t="shared" si="19"/>
        <v>0</v>
      </c>
      <c r="M198" s="7">
        <f t="shared" si="20"/>
        <v>375</v>
      </c>
      <c r="N198" s="7">
        <f>_xlfn.XLOOKUP(E198,Product_Lookup!$A$2:$A$14,Product_Lookup!$E$2:$E$14)</f>
        <v>43</v>
      </c>
      <c r="O198" s="7">
        <f t="shared" si="21"/>
        <v>215</v>
      </c>
      <c r="P198" s="7">
        <f t="shared" si="22"/>
        <v>160</v>
      </c>
      <c r="Q198" s="10">
        <f t="shared" si="23"/>
        <v>0.42666666666666669</v>
      </c>
      <c r="R198" t="s">
        <v>21</v>
      </c>
      <c r="S198" t="s">
        <v>42</v>
      </c>
    </row>
    <row r="199" spans="1:19">
      <c r="A199" t="s">
        <v>238</v>
      </c>
      <c r="B199" s="3">
        <v>46048</v>
      </c>
      <c r="C199" t="s">
        <v>44</v>
      </c>
      <c r="D199" t="s">
        <v>16</v>
      </c>
      <c r="E199" t="s">
        <v>57</v>
      </c>
      <c r="F199" t="str">
        <f>_xlfn.XLOOKUP(E199,Product_Lookup!$A$2:$A$14,Product_Lookup!$B$2:$B$14)</f>
        <v>Shelving Unit</v>
      </c>
      <c r="G199" t="str">
        <f>_xlfn.XLOOKUP(Sales_Data!E199,Product_Lookup!$A$2:$A$14,Product_Lookup!$C$2:$C$14)</f>
        <v>Storage</v>
      </c>
      <c r="H199">
        <f>_xlfn.XLOOKUP(E199,Product_Lookup!$A$2:$A$14,Product_Lookup!$D$2:$D$14)</f>
        <v>115</v>
      </c>
      <c r="I199">
        <v>6</v>
      </c>
      <c r="J199">
        <f t="shared" si="18"/>
        <v>690</v>
      </c>
      <c r="K199" s="4">
        <v>0.05</v>
      </c>
      <c r="L199" s="7">
        <f t="shared" si="19"/>
        <v>34.5</v>
      </c>
      <c r="M199" s="7">
        <f t="shared" si="20"/>
        <v>655.5</v>
      </c>
      <c r="N199" s="7">
        <f>_xlfn.XLOOKUP(E199,Product_Lookup!$A$2:$A$14,Product_Lookup!$E$2:$E$14)</f>
        <v>67</v>
      </c>
      <c r="O199" s="7">
        <f t="shared" si="21"/>
        <v>402</v>
      </c>
      <c r="P199" s="7">
        <f t="shared" si="22"/>
        <v>253.5</v>
      </c>
      <c r="Q199" s="10">
        <f t="shared" si="23"/>
        <v>0.38672768878718533</v>
      </c>
      <c r="R199" t="s">
        <v>13</v>
      </c>
      <c r="S199" t="s">
        <v>22</v>
      </c>
    </row>
    <row r="200" spans="1:19">
      <c r="A200" t="s">
        <v>239</v>
      </c>
      <c r="B200" s="3">
        <v>46076</v>
      </c>
      <c r="C200" t="s">
        <v>29</v>
      </c>
      <c r="D200" t="s">
        <v>16</v>
      </c>
      <c r="E200" t="s">
        <v>76</v>
      </c>
      <c r="F200" t="str">
        <f>_xlfn.XLOOKUP(E200,Product_Lookup!$A$2:$A$14,Product_Lookup!$B$2:$B$14)</f>
        <v>Cookware Set</v>
      </c>
      <c r="G200" t="str">
        <f>_xlfn.XLOOKUP(Sales_Data!E200,Product_Lookup!$A$2:$A$14,Product_Lookup!$C$2:$C$14)</f>
        <v>Kitchenware</v>
      </c>
      <c r="H200">
        <f>_xlfn.XLOOKUP(E200,Product_Lookup!$A$2:$A$14,Product_Lookup!$D$2:$D$14)</f>
        <v>110</v>
      </c>
      <c r="I200">
        <v>6</v>
      </c>
      <c r="J200">
        <f t="shared" si="18"/>
        <v>660</v>
      </c>
      <c r="K200" s="4">
        <v>0</v>
      </c>
      <c r="L200" s="7">
        <f t="shared" si="19"/>
        <v>0</v>
      </c>
      <c r="M200" s="7">
        <f t="shared" si="20"/>
        <v>660</v>
      </c>
      <c r="N200" s="7">
        <f>_xlfn.XLOOKUP(E200,Product_Lookup!$A$2:$A$14,Product_Lookup!$E$2:$E$14)</f>
        <v>65</v>
      </c>
      <c r="O200" s="7">
        <f t="shared" si="21"/>
        <v>390</v>
      </c>
      <c r="P200" s="7">
        <f t="shared" si="22"/>
        <v>270</v>
      </c>
      <c r="Q200" s="10">
        <f t="shared" si="23"/>
        <v>0.40909090909090912</v>
      </c>
      <c r="R200" t="s">
        <v>13</v>
      </c>
      <c r="S200" t="s">
        <v>14</v>
      </c>
    </row>
    <row r="201" spans="1:19">
      <c r="A201" t="s">
        <v>240</v>
      </c>
      <c r="B201" s="3">
        <v>46189</v>
      </c>
      <c r="C201" t="s">
        <v>24</v>
      </c>
      <c r="D201" t="s">
        <v>20</v>
      </c>
      <c r="E201" t="s">
        <v>45</v>
      </c>
      <c r="F201" t="str">
        <f>_xlfn.XLOOKUP(E201,Product_Lookup!$A$2:$A$14,Product_Lookup!$B$2:$B$14)</f>
        <v>Cushion Set</v>
      </c>
      <c r="G201" t="str">
        <f>_xlfn.XLOOKUP(Sales_Data!E201,Product_Lookup!$A$2:$A$14,Product_Lookup!$C$2:$C$14)</f>
        <v>Home Accessories</v>
      </c>
      <c r="H201">
        <f>_xlfn.XLOOKUP(E201,Product_Lookup!$A$2:$A$14,Product_Lookup!$D$2:$D$14)</f>
        <v>32</v>
      </c>
      <c r="I201">
        <v>4</v>
      </c>
      <c r="J201">
        <f t="shared" si="18"/>
        <v>128</v>
      </c>
      <c r="K201" s="4">
        <v>0.05</v>
      </c>
      <c r="L201" s="7">
        <f t="shared" si="19"/>
        <v>6.4</v>
      </c>
      <c r="M201" s="7">
        <f t="shared" si="20"/>
        <v>121.6</v>
      </c>
      <c r="N201" s="7">
        <f>_xlfn.XLOOKUP(E201,Product_Lookup!$A$2:$A$14,Product_Lookup!$E$2:$E$14)</f>
        <v>14</v>
      </c>
      <c r="O201" s="7">
        <f t="shared" si="21"/>
        <v>56</v>
      </c>
      <c r="P201" s="7">
        <f t="shared" si="22"/>
        <v>65.599999999999994</v>
      </c>
      <c r="Q201" s="10">
        <f t="shared" si="23"/>
        <v>0.53947368421052633</v>
      </c>
      <c r="R201" t="s">
        <v>13</v>
      </c>
      <c r="S201" t="s">
        <v>22</v>
      </c>
    </row>
    <row r="202" spans="1:19">
      <c r="A202" t="s">
        <v>241</v>
      </c>
      <c r="B202" s="3">
        <v>46059</v>
      </c>
      <c r="C202" t="s">
        <v>29</v>
      </c>
      <c r="D202" t="s">
        <v>20</v>
      </c>
      <c r="E202" t="s">
        <v>67</v>
      </c>
      <c r="F202" t="str">
        <f>_xlfn.XLOOKUP(E202,Product_Lookup!$A$2:$A$14,Product_Lookup!$B$2:$B$14)</f>
        <v>Rug</v>
      </c>
      <c r="G202" t="str">
        <f>_xlfn.XLOOKUP(Sales_Data!E202,Product_Lookup!$A$2:$A$14,Product_Lookup!$C$2:$C$14)</f>
        <v>Home Accessories</v>
      </c>
      <c r="H202">
        <f>_xlfn.XLOOKUP(E202,Product_Lookup!$A$2:$A$14,Product_Lookup!$D$2:$D$14)</f>
        <v>145</v>
      </c>
      <c r="I202">
        <v>6</v>
      </c>
      <c r="J202">
        <f t="shared" si="18"/>
        <v>870</v>
      </c>
      <c r="K202" s="4">
        <v>0</v>
      </c>
      <c r="L202" s="7">
        <f t="shared" si="19"/>
        <v>0</v>
      </c>
      <c r="M202" s="7">
        <f t="shared" si="20"/>
        <v>870</v>
      </c>
      <c r="N202" s="7">
        <f>_xlfn.XLOOKUP(E202,Product_Lookup!$A$2:$A$14,Product_Lookup!$E$2:$E$14)</f>
        <v>88</v>
      </c>
      <c r="O202" s="7">
        <f t="shared" si="21"/>
        <v>528</v>
      </c>
      <c r="P202" s="7">
        <f t="shared" si="22"/>
        <v>342</v>
      </c>
      <c r="Q202" s="10">
        <f t="shared" si="23"/>
        <v>0.39310344827586208</v>
      </c>
      <c r="R202" t="s">
        <v>13</v>
      </c>
      <c r="S202" t="s">
        <v>33</v>
      </c>
    </row>
    <row r="203" spans="1:19">
      <c r="A203" t="s">
        <v>242</v>
      </c>
      <c r="B203" s="3">
        <v>46175</v>
      </c>
      <c r="C203" t="s">
        <v>10</v>
      </c>
      <c r="D203" t="s">
        <v>16</v>
      </c>
      <c r="E203" t="s">
        <v>12</v>
      </c>
      <c r="F203" t="str">
        <f>_xlfn.XLOOKUP(E203,Product_Lookup!$A$2:$A$14,Product_Lookup!$B$2:$B$14)</f>
        <v>Desk</v>
      </c>
      <c r="G203" t="str">
        <f>_xlfn.XLOOKUP(Sales_Data!E203,Product_Lookup!$A$2:$A$14,Product_Lookup!$C$2:$C$14)</f>
        <v>Furniture</v>
      </c>
      <c r="H203">
        <f>_xlfn.XLOOKUP(E203,Product_Lookup!$A$2:$A$14,Product_Lookup!$D$2:$D$14)</f>
        <v>210</v>
      </c>
      <c r="I203">
        <v>5</v>
      </c>
      <c r="J203">
        <f t="shared" si="18"/>
        <v>1050</v>
      </c>
      <c r="K203" s="4">
        <v>0</v>
      </c>
      <c r="L203" s="7">
        <f t="shared" si="19"/>
        <v>0</v>
      </c>
      <c r="M203" s="7">
        <f t="shared" si="20"/>
        <v>1050</v>
      </c>
      <c r="N203" s="7">
        <f>_xlfn.XLOOKUP(E203,Product_Lookup!$A$2:$A$14,Product_Lookup!$E$2:$E$14)</f>
        <v>132</v>
      </c>
      <c r="O203" s="7">
        <f t="shared" si="21"/>
        <v>660</v>
      </c>
      <c r="P203" s="7">
        <f t="shared" si="22"/>
        <v>390</v>
      </c>
      <c r="Q203" s="10">
        <f t="shared" si="23"/>
        <v>0.37142857142857144</v>
      </c>
      <c r="R203" t="s">
        <v>13</v>
      </c>
      <c r="S203" t="s">
        <v>22</v>
      </c>
    </row>
    <row r="204" spans="1:19">
      <c r="A204" t="s">
        <v>243</v>
      </c>
      <c r="B204" s="3">
        <v>46122</v>
      </c>
      <c r="C204" t="s">
        <v>44</v>
      </c>
      <c r="D204" t="s">
        <v>16</v>
      </c>
      <c r="E204" t="s">
        <v>45</v>
      </c>
      <c r="F204" t="str">
        <f>_xlfn.XLOOKUP(E204,Product_Lookup!$A$2:$A$14,Product_Lookup!$B$2:$B$14)</f>
        <v>Cushion Set</v>
      </c>
      <c r="G204" t="str">
        <f>_xlfn.XLOOKUP(Sales_Data!E204,Product_Lookup!$A$2:$A$14,Product_Lookup!$C$2:$C$14)</f>
        <v>Home Accessories</v>
      </c>
      <c r="H204">
        <f>_xlfn.XLOOKUP(E204,Product_Lookup!$A$2:$A$14,Product_Lookup!$D$2:$D$14)</f>
        <v>32</v>
      </c>
      <c r="I204">
        <v>7</v>
      </c>
      <c r="J204">
        <f t="shared" si="18"/>
        <v>224</v>
      </c>
      <c r="K204" s="4">
        <v>0.05</v>
      </c>
      <c r="L204" s="7">
        <f t="shared" si="19"/>
        <v>11.200000000000001</v>
      </c>
      <c r="M204" s="7">
        <f t="shared" si="20"/>
        <v>212.8</v>
      </c>
      <c r="N204" s="7">
        <f>_xlfn.XLOOKUP(E204,Product_Lookup!$A$2:$A$14,Product_Lookup!$E$2:$E$14)</f>
        <v>14</v>
      </c>
      <c r="O204" s="7">
        <f t="shared" si="21"/>
        <v>98</v>
      </c>
      <c r="P204" s="7">
        <f t="shared" si="22"/>
        <v>114.80000000000001</v>
      </c>
      <c r="Q204" s="10">
        <f t="shared" si="23"/>
        <v>0.53947368421052633</v>
      </c>
      <c r="R204" t="s">
        <v>13</v>
      </c>
      <c r="S204" t="s">
        <v>33</v>
      </c>
    </row>
    <row r="205" spans="1:19">
      <c r="A205" t="s">
        <v>244</v>
      </c>
      <c r="B205" s="3">
        <v>46156</v>
      </c>
      <c r="C205" t="s">
        <v>10</v>
      </c>
      <c r="D205" t="s">
        <v>20</v>
      </c>
      <c r="E205" t="s">
        <v>67</v>
      </c>
      <c r="F205" t="str">
        <f>_xlfn.XLOOKUP(E205,Product_Lookup!$A$2:$A$14,Product_Lookup!$B$2:$B$14)</f>
        <v>Rug</v>
      </c>
      <c r="G205" t="str">
        <f>_xlfn.XLOOKUP(Sales_Data!E205,Product_Lookup!$A$2:$A$14,Product_Lookup!$C$2:$C$14)</f>
        <v>Home Accessories</v>
      </c>
      <c r="H205">
        <f>_xlfn.XLOOKUP(E205,Product_Lookup!$A$2:$A$14,Product_Lookup!$D$2:$D$14)</f>
        <v>145</v>
      </c>
      <c r="I205">
        <v>5</v>
      </c>
      <c r="J205">
        <f t="shared" si="18"/>
        <v>725</v>
      </c>
      <c r="K205" s="4">
        <v>0</v>
      </c>
      <c r="L205" s="7">
        <f t="shared" si="19"/>
        <v>0</v>
      </c>
      <c r="M205" s="7">
        <f t="shared" si="20"/>
        <v>725</v>
      </c>
      <c r="N205" s="7">
        <f>_xlfn.XLOOKUP(E205,Product_Lookup!$A$2:$A$14,Product_Lookup!$E$2:$E$14)</f>
        <v>88</v>
      </c>
      <c r="O205" s="7">
        <f t="shared" si="21"/>
        <v>440</v>
      </c>
      <c r="P205" s="7">
        <f t="shared" si="22"/>
        <v>285</v>
      </c>
      <c r="Q205" s="10">
        <f t="shared" si="23"/>
        <v>0.39310344827586208</v>
      </c>
      <c r="R205" t="s">
        <v>13</v>
      </c>
      <c r="S205" t="s">
        <v>22</v>
      </c>
    </row>
    <row r="206" spans="1:19">
      <c r="A206" t="s">
        <v>245</v>
      </c>
      <c r="B206" s="3">
        <v>46050</v>
      </c>
      <c r="C206" t="s">
        <v>38</v>
      </c>
      <c r="D206" t="s">
        <v>16</v>
      </c>
      <c r="E206" t="s">
        <v>12</v>
      </c>
      <c r="F206" t="str">
        <f>_xlfn.XLOOKUP(E206,Product_Lookup!$A$2:$A$14,Product_Lookup!$B$2:$B$14)</f>
        <v>Desk</v>
      </c>
      <c r="G206" t="str">
        <f>_xlfn.XLOOKUP(Sales_Data!E206,Product_Lookup!$A$2:$A$14,Product_Lookup!$C$2:$C$14)</f>
        <v>Furniture</v>
      </c>
      <c r="H206">
        <f>_xlfn.XLOOKUP(E206,Product_Lookup!$A$2:$A$14,Product_Lookup!$D$2:$D$14)</f>
        <v>210</v>
      </c>
      <c r="I206">
        <v>7</v>
      </c>
      <c r="J206">
        <f t="shared" si="18"/>
        <v>1470</v>
      </c>
      <c r="K206" s="4">
        <v>0.1</v>
      </c>
      <c r="L206" s="7">
        <f t="shared" si="19"/>
        <v>147</v>
      </c>
      <c r="M206" s="7">
        <f t="shared" si="20"/>
        <v>1323</v>
      </c>
      <c r="N206" s="7">
        <f>_xlfn.XLOOKUP(E206,Product_Lookup!$A$2:$A$14,Product_Lookup!$E$2:$E$14)</f>
        <v>132</v>
      </c>
      <c r="O206" s="7">
        <f t="shared" si="21"/>
        <v>924</v>
      </c>
      <c r="P206" s="7">
        <f t="shared" si="22"/>
        <v>399</v>
      </c>
      <c r="Q206" s="10">
        <f t="shared" si="23"/>
        <v>0.30158730158730157</v>
      </c>
      <c r="R206" t="s">
        <v>13</v>
      </c>
      <c r="S206" t="s">
        <v>14</v>
      </c>
    </row>
    <row r="207" spans="1:19">
      <c r="A207" t="s">
        <v>246</v>
      </c>
      <c r="B207" s="3">
        <v>46100</v>
      </c>
      <c r="C207" t="s">
        <v>29</v>
      </c>
      <c r="D207" t="s">
        <v>16</v>
      </c>
      <c r="E207" t="s">
        <v>17</v>
      </c>
      <c r="F207" t="str">
        <f>_xlfn.XLOOKUP(E207,Product_Lookup!$A$2:$A$14,Product_Lookup!$B$2:$B$14)</f>
        <v>Storage Box</v>
      </c>
      <c r="G207" t="str">
        <f>_xlfn.XLOOKUP(Sales_Data!E207,Product_Lookup!$A$2:$A$14,Product_Lookup!$C$2:$C$14)</f>
        <v>Storage</v>
      </c>
      <c r="H207">
        <f>_xlfn.XLOOKUP(E207,Product_Lookup!$A$2:$A$14,Product_Lookup!$D$2:$D$14)</f>
        <v>26</v>
      </c>
      <c r="I207">
        <v>1</v>
      </c>
      <c r="J207">
        <f t="shared" si="18"/>
        <v>26</v>
      </c>
      <c r="K207" s="4">
        <v>0</v>
      </c>
      <c r="L207" s="7">
        <f t="shared" si="19"/>
        <v>0</v>
      </c>
      <c r="M207" s="7">
        <f t="shared" si="20"/>
        <v>26</v>
      </c>
      <c r="N207" s="7">
        <f>_xlfn.XLOOKUP(E207,Product_Lookup!$A$2:$A$14,Product_Lookup!$E$2:$E$14)</f>
        <v>11</v>
      </c>
      <c r="O207" s="7">
        <f t="shared" si="21"/>
        <v>11</v>
      </c>
      <c r="P207" s="7">
        <f t="shared" si="22"/>
        <v>15</v>
      </c>
      <c r="Q207" s="10">
        <f t="shared" si="23"/>
        <v>0.57692307692307687</v>
      </c>
      <c r="R207" t="s">
        <v>13</v>
      </c>
      <c r="S207" t="s">
        <v>48</v>
      </c>
    </row>
    <row r="208" spans="1:19">
      <c r="A208" t="s">
        <v>247</v>
      </c>
      <c r="B208" s="3">
        <v>46199</v>
      </c>
      <c r="C208" t="s">
        <v>442</v>
      </c>
      <c r="D208" t="s">
        <v>20</v>
      </c>
      <c r="E208" t="s">
        <v>12</v>
      </c>
      <c r="F208" t="str">
        <f>_xlfn.XLOOKUP(E208,Product_Lookup!$A$2:$A$14,Product_Lookup!$B$2:$B$14)</f>
        <v>Desk</v>
      </c>
      <c r="G208" t="str">
        <f>_xlfn.XLOOKUP(Sales_Data!E208,Product_Lookup!$A$2:$A$14,Product_Lookup!$C$2:$C$14)</f>
        <v>Furniture</v>
      </c>
      <c r="H208">
        <f>_xlfn.XLOOKUP(E208,Product_Lookup!$A$2:$A$14,Product_Lookup!$D$2:$D$14)</f>
        <v>210</v>
      </c>
      <c r="I208">
        <v>1</v>
      </c>
      <c r="J208">
        <f t="shared" si="18"/>
        <v>210</v>
      </c>
      <c r="K208" s="4">
        <v>0.05</v>
      </c>
      <c r="L208" s="7">
        <f t="shared" si="19"/>
        <v>10.5</v>
      </c>
      <c r="M208" s="7">
        <f t="shared" si="20"/>
        <v>199.5</v>
      </c>
      <c r="N208" s="7">
        <f>_xlfn.XLOOKUP(E208,Product_Lookup!$A$2:$A$14,Product_Lookup!$E$2:$E$14)</f>
        <v>132</v>
      </c>
      <c r="O208" s="7">
        <f t="shared" si="21"/>
        <v>132</v>
      </c>
      <c r="P208" s="7">
        <f t="shared" si="22"/>
        <v>67.5</v>
      </c>
      <c r="Q208" s="10">
        <f t="shared" si="23"/>
        <v>0.33834586466165412</v>
      </c>
      <c r="R208" t="s">
        <v>13</v>
      </c>
      <c r="S208" t="s">
        <v>48</v>
      </c>
    </row>
    <row r="209" spans="1:19">
      <c r="A209" t="s">
        <v>248</v>
      </c>
      <c r="B209" s="3">
        <v>46114</v>
      </c>
      <c r="C209" t="s">
        <v>29</v>
      </c>
      <c r="D209" t="s">
        <v>16</v>
      </c>
      <c r="E209" t="s">
        <v>45</v>
      </c>
      <c r="F209" t="str">
        <f>_xlfn.XLOOKUP(E209,Product_Lookup!$A$2:$A$14,Product_Lookup!$B$2:$B$14)</f>
        <v>Cushion Set</v>
      </c>
      <c r="G209" t="str">
        <f>_xlfn.XLOOKUP(Sales_Data!E209,Product_Lookup!$A$2:$A$14,Product_Lookup!$C$2:$C$14)</f>
        <v>Home Accessories</v>
      </c>
      <c r="H209">
        <f>_xlfn.XLOOKUP(E209,Product_Lookup!$A$2:$A$14,Product_Lookup!$D$2:$D$14)</f>
        <v>32</v>
      </c>
      <c r="I209">
        <v>4</v>
      </c>
      <c r="J209">
        <f t="shared" si="18"/>
        <v>128</v>
      </c>
      <c r="K209" s="4">
        <v>0.2</v>
      </c>
      <c r="L209" s="7">
        <f t="shared" si="19"/>
        <v>25.6</v>
      </c>
      <c r="M209" s="7">
        <f t="shared" si="20"/>
        <v>102.4</v>
      </c>
      <c r="N209" s="7">
        <f>_xlfn.XLOOKUP(E209,Product_Lookup!$A$2:$A$14,Product_Lookup!$E$2:$E$14)</f>
        <v>14</v>
      </c>
      <c r="O209" s="7">
        <f t="shared" si="21"/>
        <v>56</v>
      </c>
      <c r="P209" s="7">
        <f t="shared" si="22"/>
        <v>46.400000000000006</v>
      </c>
      <c r="Q209" s="10">
        <f t="shared" si="23"/>
        <v>0.45312500000000006</v>
      </c>
      <c r="R209" t="s">
        <v>13</v>
      </c>
      <c r="S209" t="s">
        <v>42</v>
      </c>
    </row>
    <row r="210" spans="1:19">
      <c r="A210" t="s">
        <v>249</v>
      </c>
      <c r="B210" s="3">
        <v>46043</v>
      </c>
      <c r="C210" t="s">
        <v>29</v>
      </c>
      <c r="D210" t="s">
        <v>11</v>
      </c>
      <c r="E210" t="s">
        <v>27</v>
      </c>
      <c r="F210" t="str">
        <f>_xlfn.XLOOKUP(E210,Product_Lookup!$A$2:$A$14,Product_Lookup!$B$2:$B$14)</f>
        <v>Kettle</v>
      </c>
      <c r="G210" t="str">
        <f>_xlfn.XLOOKUP(Sales_Data!E210,Product_Lookup!$A$2:$A$14,Product_Lookup!$C$2:$C$14)</f>
        <v>Kitchenware</v>
      </c>
      <c r="H210">
        <f>_xlfn.XLOOKUP(E210,Product_Lookup!$A$2:$A$14,Product_Lookup!$D$2:$D$14)</f>
        <v>38</v>
      </c>
      <c r="I210">
        <v>3</v>
      </c>
      <c r="J210">
        <f t="shared" si="18"/>
        <v>114</v>
      </c>
      <c r="K210" s="4">
        <v>0.05</v>
      </c>
      <c r="L210" s="7">
        <f t="shared" si="19"/>
        <v>5.7</v>
      </c>
      <c r="M210" s="7">
        <f t="shared" si="20"/>
        <v>108.3</v>
      </c>
      <c r="N210" s="7">
        <f>_xlfn.XLOOKUP(E210,Product_Lookup!$A$2:$A$14,Product_Lookup!$E$2:$E$14)</f>
        <v>21</v>
      </c>
      <c r="O210" s="7">
        <f t="shared" si="21"/>
        <v>63</v>
      </c>
      <c r="P210" s="7">
        <f t="shared" si="22"/>
        <v>45.3</v>
      </c>
      <c r="Q210" s="10">
        <f t="shared" si="23"/>
        <v>0.4182825484764543</v>
      </c>
      <c r="R210" t="s">
        <v>13</v>
      </c>
      <c r="S210" t="s">
        <v>33</v>
      </c>
    </row>
    <row r="211" spans="1:19">
      <c r="A211" t="s">
        <v>250</v>
      </c>
      <c r="B211" s="3">
        <v>46193</v>
      </c>
      <c r="C211" t="s">
        <v>44</v>
      </c>
      <c r="D211" t="s">
        <v>11</v>
      </c>
      <c r="E211" t="s">
        <v>76</v>
      </c>
      <c r="F211" t="str">
        <f>_xlfn.XLOOKUP(E211,Product_Lookup!$A$2:$A$14,Product_Lookup!$B$2:$B$14)</f>
        <v>Cookware Set</v>
      </c>
      <c r="G211" t="str">
        <f>_xlfn.XLOOKUP(Sales_Data!E211,Product_Lookup!$A$2:$A$14,Product_Lookup!$C$2:$C$14)</f>
        <v>Kitchenware</v>
      </c>
      <c r="H211">
        <f>_xlfn.XLOOKUP(E211,Product_Lookup!$A$2:$A$14,Product_Lookup!$D$2:$D$14)</f>
        <v>110</v>
      </c>
      <c r="I211">
        <v>6</v>
      </c>
      <c r="J211">
        <f t="shared" si="18"/>
        <v>660</v>
      </c>
      <c r="K211" s="4">
        <v>0.15</v>
      </c>
      <c r="L211" s="7">
        <f t="shared" si="19"/>
        <v>99</v>
      </c>
      <c r="M211" s="7">
        <f t="shared" si="20"/>
        <v>561</v>
      </c>
      <c r="N211" s="7">
        <f>_xlfn.XLOOKUP(E211,Product_Lookup!$A$2:$A$14,Product_Lookup!$E$2:$E$14)</f>
        <v>65</v>
      </c>
      <c r="O211" s="7">
        <f t="shared" si="21"/>
        <v>390</v>
      </c>
      <c r="P211" s="7">
        <f t="shared" si="22"/>
        <v>171</v>
      </c>
      <c r="Q211" s="10">
        <f t="shared" si="23"/>
        <v>0.30481283422459893</v>
      </c>
      <c r="R211" t="s">
        <v>36</v>
      </c>
      <c r="S211" t="s">
        <v>48</v>
      </c>
    </row>
    <row r="212" spans="1:19">
      <c r="A212" t="s">
        <v>251</v>
      </c>
      <c r="B212" s="3">
        <v>46097</v>
      </c>
      <c r="C212" t="s">
        <v>24</v>
      </c>
      <c r="D212" t="s">
        <v>11</v>
      </c>
      <c r="E212" t="s">
        <v>57</v>
      </c>
      <c r="F212" t="str">
        <f>_xlfn.XLOOKUP(E212,Product_Lookup!$A$2:$A$14,Product_Lookup!$B$2:$B$14)</f>
        <v>Shelving Unit</v>
      </c>
      <c r="G212" t="str">
        <f>_xlfn.XLOOKUP(Sales_Data!E212,Product_Lookup!$A$2:$A$14,Product_Lookup!$C$2:$C$14)</f>
        <v>Storage</v>
      </c>
      <c r="H212">
        <f>_xlfn.XLOOKUP(E212,Product_Lookup!$A$2:$A$14,Product_Lookup!$D$2:$D$14)</f>
        <v>115</v>
      </c>
      <c r="I212">
        <v>2</v>
      </c>
      <c r="J212">
        <f t="shared" si="18"/>
        <v>230</v>
      </c>
      <c r="K212" s="4">
        <v>0.15</v>
      </c>
      <c r="L212" s="7">
        <f t="shared" si="19"/>
        <v>34.5</v>
      </c>
      <c r="M212" s="7">
        <f t="shared" si="20"/>
        <v>195.5</v>
      </c>
      <c r="N212" s="7">
        <f>_xlfn.XLOOKUP(E212,Product_Lookup!$A$2:$A$14,Product_Lookup!$E$2:$E$14)</f>
        <v>67</v>
      </c>
      <c r="O212" s="7">
        <f t="shared" si="21"/>
        <v>134</v>
      </c>
      <c r="P212" s="7">
        <f t="shared" si="22"/>
        <v>61.5</v>
      </c>
      <c r="Q212" s="10">
        <f t="shared" si="23"/>
        <v>0.31457800511508949</v>
      </c>
      <c r="R212" t="s">
        <v>13</v>
      </c>
      <c r="S212" t="s">
        <v>39</v>
      </c>
    </row>
    <row r="213" spans="1:19">
      <c r="A213" t="s">
        <v>252</v>
      </c>
      <c r="B213" s="3">
        <v>46095</v>
      </c>
      <c r="C213" t="s">
        <v>44</v>
      </c>
      <c r="D213" t="s">
        <v>20</v>
      </c>
      <c r="E213" t="s">
        <v>27</v>
      </c>
      <c r="F213" t="str">
        <f>_xlfn.XLOOKUP(E213,Product_Lookup!$A$2:$A$14,Product_Lookup!$B$2:$B$14)</f>
        <v>Kettle</v>
      </c>
      <c r="G213" t="str">
        <f>_xlfn.XLOOKUP(Sales_Data!E213,Product_Lookup!$A$2:$A$14,Product_Lookup!$C$2:$C$14)</f>
        <v>Kitchenware</v>
      </c>
      <c r="H213">
        <f>_xlfn.XLOOKUP(E213,Product_Lookup!$A$2:$A$14,Product_Lookup!$D$2:$D$14)</f>
        <v>38</v>
      </c>
      <c r="I213">
        <v>6</v>
      </c>
      <c r="J213">
        <f t="shared" si="18"/>
        <v>228</v>
      </c>
      <c r="K213" s="4">
        <v>0</v>
      </c>
      <c r="L213" s="7">
        <f t="shared" si="19"/>
        <v>0</v>
      </c>
      <c r="M213" s="7">
        <f t="shared" si="20"/>
        <v>228</v>
      </c>
      <c r="N213" s="7">
        <f>_xlfn.XLOOKUP(E213,Product_Lookup!$A$2:$A$14,Product_Lookup!$E$2:$E$14)</f>
        <v>21</v>
      </c>
      <c r="O213" s="7">
        <f t="shared" si="21"/>
        <v>126</v>
      </c>
      <c r="P213" s="7">
        <f t="shared" si="22"/>
        <v>102</v>
      </c>
      <c r="Q213" s="10">
        <f t="shared" si="23"/>
        <v>0.44736842105263158</v>
      </c>
      <c r="R213" t="s">
        <v>13</v>
      </c>
      <c r="S213" t="s">
        <v>39</v>
      </c>
    </row>
    <row r="214" spans="1:19">
      <c r="A214" t="s">
        <v>253</v>
      </c>
      <c r="B214" s="3">
        <v>46032</v>
      </c>
      <c r="C214" t="s">
        <v>29</v>
      </c>
      <c r="D214" t="s">
        <v>16</v>
      </c>
      <c r="E214" t="s">
        <v>27</v>
      </c>
      <c r="F214" t="str">
        <f>_xlfn.XLOOKUP(E214,Product_Lookup!$A$2:$A$14,Product_Lookup!$B$2:$B$14)</f>
        <v>Kettle</v>
      </c>
      <c r="G214" t="str">
        <f>_xlfn.XLOOKUP(Sales_Data!E214,Product_Lookup!$A$2:$A$14,Product_Lookup!$C$2:$C$14)</f>
        <v>Kitchenware</v>
      </c>
      <c r="H214">
        <f>_xlfn.XLOOKUP(E214,Product_Lookup!$A$2:$A$14,Product_Lookup!$D$2:$D$14)</f>
        <v>38</v>
      </c>
      <c r="I214">
        <v>2</v>
      </c>
      <c r="J214">
        <f t="shared" si="18"/>
        <v>76</v>
      </c>
      <c r="K214" s="4">
        <v>0.25</v>
      </c>
      <c r="L214" s="7">
        <f t="shared" si="19"/>
        <v>19</v>
      </c>
      <c r="M214" s="7">
        <f t="shared" si="20"/>
        <v>57</v>
      </c>
      <c r="N214" s="7">
        <f>_xlfn.XLOOKUP(E214,Product_Lookup!$A$2:$A$14,Product_Lookup!$E$2:$E$14)</f>
        <v>21</v>
      </c>
      <c r="O214" s="7">
        <f t="shared" si="21"/>
        <v>42</v>
      </c>
      <c r="P214" s="7">
        <f t="shared" si="22"/>
        <v>15</v>
      </c>
      <c r="Q214" s="10">
        <f t="shared" si="23"/>
        <v>0.26315789473684209</v>
      </c>
      <c r="R214" t="s">
        <v>13</v>
      </c>
      <c r="S214" t="s">
        <v>18</v>
      </c>
    </row>
    <row r="215" spans="1:19">
      <c r="A215" t="s">
        <v>254</v>
      </c>
      <c r="B215" s="3">
        <v>46032</v>
      </c>
      <c r="C215" t="s">
        <v>29</v>
      </c>
      <c r="D215" t="s">
        <v>11</v>
      </c>
      <c r="E215" t="s">
        <v>12</v>
      </c>
      <c r="F215" t="str">
        <f>_xlfn.XLOOKUP(E215,Product_Lookup!$A$2:$A$14,Product_Lookup!$B$2:$B$14)</f>
        <v>Desk</v>
      </c>
      <c r="G215" t="str">
        <f>_xlfn.XLOOKUP(Sales_Data!E215,Product_Lookup!$A$2:$A$14,Product_Lookup!$C$2:$C$14)</f>
        <v>Furniture</v>
      </c>
      <c r="H215">
        <f>_xlfn.XLOOKUP(E215,Product_Lookup!$A$2:$A$14,Product_Lookup!$D$2:$D$14)</f>
        <v>210</v>
      </c>
      <c r="I215">
        <v>3</v>
      </c>
      <c r="J215">
        <f t="shared" si="18"/>
        <v>630</v>
      </c>
      <c r="K215" s="4">
        <v>0</v>
      </c>
      <c r="L215" s="7">
        <f t="shared" si="19"/>
        <v>0</v>
      </c>
      <c r="M215" s="7">
        <f t="shared" si="20"/>
        <v>630</v>
      </c>
      <c r="N215" s="7">
        <f>_xlfn.XLOOKUP(E215,Product_Lookup!$A$2:$A$14,Product_Lookup!$E$2:$E$14)</f>
        <v>132</v>
      </c>
      <c r="O215" s="7">
        <f t="shared" si="21"/>
        <v>396</v>
      </c>
      <c r="P215" s="7">
        <f t="shared" si="22"/>
        <v>234</v>
      </c>
      <c r="Q215" s="10">
        <f t="shared" si="23"/>
        <v>0.37142857142857144</v>
      </c>
      <c r="R215" t="s">
        <v>13</v>
      </c>
      <c r="S215" t="s">
        <v>42</v>
      </c>
    </row>
    <row r="216" spans="1:19">
      <c r="A216" t="s">
        <v>255</v>
      </c>
      <c r="B216" s="3">
        <v>46032</v>
      </c>
      <c r="C216" t="s">
        <v>29</v>
      </c>
      <c r="D216" t="s">
        <v>11</v>
      </c>
      <c r="E216" t="s">
        <v>76</v>
      </c>
      <c r="F216" t="str">
        <f>_xlfn.XLOOKUP(E216,Product_Lookup!$A$2:$A$14,Product_Lookup!$B$2:$B$14)</f>
        <v>Cookware Set</v>
      </c>
      <c r="G216" t="str">
        <f>_xlfn.XLOOKUP(Sales_Data!E216,Product_Lookup!$A$2:$A$14,Product_Lookup!$C$2:$C$14)</f>
        <v>Kitchenware</v>
      </c>
      <c r="H216">
        <f>_xlfn.XLOOKUP(E216,Product_Lookup!$A$2:$A$14,Product_Lookup!$D$2:$D$14)</f>
        <v>110</v>
      </c>
      <c r="I216">
        <v>4</v>
      </c>
      <c r="J216">
        <f t="shared" si="18"/>
        <v>440</v>
      </c>
      <c r="K216" s="4">
        <v>0.15</v>
      </c>
      <c r="L216" s="7">
        <f t="shared" si="19"/>
        <v>66</v>
      </c>
      <c r="M216" s="7">
        <f t="shared" si="20"/>
        <v>374</v>
      </c>
      <c r="N216" s="7">
        <f>_xlfn.XLOOKUP(E216,Product_Lookup!$A$2:$A$14,Product_Lookup!$E$2:$E$14)</f>
        <v>65</v>
      </c>
      <c r="O216" s="7">
        <f t="shared" si="21"/>
        <v>260</v>
      </c>
      <c r="P216" s="7">
        <f t="shared" si="22"/>
        <v>114</v>
      </c>
      <c r="Q216" s="10">
        <f t="shared" si="23"/>
        <v>0.30481283422459893</v>
      </c>
      <c r="R216" t="s">
        <v>13</v>
      </c>
      <c r="S216" t="s">
        <v>22</v>
      </c>
    </row>
    <row r="217" spans="1:19">
      <c r="A217" t="s">
        <v>256</v>
      </c>
      <c r="B217" s="3">
        <v>46133</v>
      </c>
      <c r="C217" t="s">
        <v>29</v>
      </c>
      <c r="D217" t="s">
        <v>16</v>
      </c>
      <c r="E217" t="s">
        <v>30</v>
      </c>
      <c r="F217" t="str">
        <f>_xlfn.XLOOKUP(E217,Product_Lookup!$A$2:$A$14,Product_Lookup!$B$2:$B$14)</f>
        <v>Dining Chair</v>
      </c>
      <c r="G217" t="str">
        <f>_xlfn.XLOOKUP(Sales_Data!E217,Product_Lookup!$A$2:$A$14,Product_Lookup!$C$2:$C$14)</f>
        <v>Furniture</v>
      </c>
      <c r="H217">
        <f>_xlfn.XLOOKUP(E217,Product_Lookup!$A$2:$A$14,Product_Lookup!$D$2:$D$14)</f>
        <v>95</v>
      </c>
      <c r="I217">
        <v>5</v>
      </c>
      <c r="J217">
        <f t="shared" si="18"/>
        <v>475</v>
      </c>
      <c r="K217" s="4">
        <v>0.05</v>
      </c>
      <c r="L217" s="7">
        <f t="shared" si="19"/>
        <v>23.75</v>
      </c>
      <c r="M217" s="7">
        <f t="shared" si="20"/>
        <v>451.25</v>
      </c>
      <c r="N217" s="7">
        <f>_xlfn.XLOOKUP(E217,Product_Lookup!$A$2:$A$14,Product_Lookup!$E$2:$E$14)</f>
        <v>54</v>
      </c>
      <c r="O217" s="7">
        <f t="shared" si="21"/>
        <v>270</v>
      </c>
      <c r="P217" s="7">
        <f t="shared" si="22"/>
        <v>181.25</v>
      </c>
      <c r="Q217" s="10">
        <f t="shared" si="23"/>
        <v>0.40166204986149584</v>
      </c>
      <c r="R217" t="s">
        <v>36</v>
      </c>
      <c r="S217" t="s">
        <v>48</v>
      </c>
    </row>
    <row r="218" spans="1:19">
      <c r="A218" t="s">
        <v>257</v>
      </c>
      <c r="B218" s="3">
        <v>46151</v>
      </c>
      <c r="C218" t="s">
        <v>24</v>
      </c>
      <c r="D218" t="s">
        <v>16</v>
      </c>
      <c r="E218" t="s">
        <v>45</v>
      </c>
      <c r="F218" t="str">
        <f>_xlfn.XLOOKUP(E218,Product_Lookup!$A$2:$A$14,Product_Lookup!$B$2:$B$14)</f>
        <v>Cushion Set</v>
      </c>
      <c r="G218" t="str">
        <f>_xlfn.XLOOKUP(Sales_Data!E218,Product_Lookup!$A$2:$A$14,Product_Lookup!$C$2:$C$14)</f>
        <v>Home Accessories</v>
      </c>
      <c r="H218">
        <f>_xlfn.XLOOKUP(E218,Product_Lookup!$A$2:$A$14,Product_Lookup!$D$2:$D$14)</f>
        <v>32</v>
      </c>
      <c r="I218">
        <v>6</v>
      </c>
      <c r="J218">
        <f t="shared" si="18"/>
        <v>192</v>
      </c>
      <c r="K218" s="4">
        <v>0.1</v>
      </c>
      <c r="L218" s="7">
        <f t="shared" si="19"/>
        <v>19.200000000000003</v>
      </c>
      <c r="M218" s="7">
        <f t="shared" si="20"/>
        <v>172.8</v>
      </c>
      <c r="N218" s="7">
        <f>_xlfn.XLOOKUP(E218,Product_Lookup!$A$2:$A$14,Product_Lookup!$E$2:$E$14)</f>
        <v>14</v>
      </c>
      <c r="O218" s="7">
        <f t="shared" si="21"/>
        <v>84</v>
      </c>
      <c r="P218" s="7">
        <f t="shared" si="22"/>
        <v>88.800000000000011</v>
      </c>
      <c r="Q218" s="10">
        <f t="shared" si="23"/>
        <v>0.51388888888888895</v>
      </c>
      <c r="R218" t="s">
        <v>21</v>
      </c>
      <c r="S218" t="s">
        <v>33</v>
      </c>
    </row>
    <row r="219" spans="1:19">
      <c r="A219" t="s">
        <v>258</v>
      </c>
      <c r="B219" s="3">
        <v>46128</v>
      </c>
      <c r="C219" t="s">
        <v>24</v>
      </c>
      <c r="D219" t="s">
        <v>11</v>
      </c>
      <c r="E219" t="s">
        <v>32</v>
      </c>
      <c r="F219" t="str">
        <f>_xlfn.XLOOKUP(E219,Product_Lookup!$A$2:$A$14,Product_Lookup!$B$2:$B$14)</f>
        <v>Sofa</v>
      </c>
      <c r="G219" t="str">
        <f>_xlfn.XLOOKUP(Sales_Data!E219,Product_Lookup!$A$2:$A$14,Product_Lookup!$C$2:$C$14)</f>
        <v>Furniture</v>
      </c>
      <c r="H219">
        <f>_xlfn.XLOOKUP(E219,Product_Lookup!$A$2:$A$14,Product_Lookup!$D$2:$D$14)</f>
        <v>420</v>
      </c>
      <c r="I219">
        <v>7</v>
      </c>
      <c r="J219">
        <f t="shared" si="18"/>
        <v>2940</v>
      </c>
      <c r="K219" s="4">
        <v>0.05</v>
      </c>
      <c r="L219" s="7">
        <f t="shared" si="19"/>
        <v>147</v>
      </c>
      <c r="M219" s="7">
        <f t="shared" si="20"/>
        <v>2793</v>
      </c>
      <c r="N219" s="7">
        <f>_xlfn.XLOOKUP(E219,Product_Lookup!$A$2:$A$14,Product_Lookup!$E$2:$E$14)</f>
        <v>280</v>
      </c>
      <c r="O219" s="7">
        <f t="shared" si="21"/>
        <v>1960</v>
      </c>
      <c r="P219" s="7">
        <f t="shared" si="22"/>
        <v>833</v>
      </c>
      <c r="Q219" s="10">
        <f t="shared" si="23"/>
        <v>0.2982456140350877</v>
      </c>
      <c r="R219" t="s">
        <v>13</v>
      </c>
      <c r="S219" t="s">
        <v>42</v>
      </c>
    </row>
    <row r="220" spans="1:19">
      <c r="A220" t="s">
        <v>259</v>
      </c>
      <c r="B220" s="3">
        <v>46047</v>
      </c>
      <c r="C220" t="s">
        <v>44</v>
      </c>
      <c r="D220" t="s">
        <v>20</v>
      </c>
      <c r="E220" t="s">
        <v>32</v>
      </c>
      <c r="F220" t="str">
        <f>_xlfn.XLOOKUP(E220,Product_Lookup!$A$2:$A$14,Product_Lookup!$B$2:$B$14)</f>
        <v>Sofa</v>
      </c>
      <c r="G220" t="str">
        <f>_xlfn.XLOOKUP(Sales_Data!E220,Product_Lookup!$A$2:$A$14,Product_Lookup!$C$2:$C$14)</f>
        <v>Furniture</v>
      </c>
      <c r="H220">
        <f>_xlfn.XLOOKUP(E220,Product_Lookup!$A$2:$A$14,Product_Lookup!$D$2:$D$14)</f>
        <v>420</v>
      </c>
      <c r="I220">
        <v>4</v>
      </c>
      <c r="J220">
        <f t="shared" si="18"/>
        <v>1680</v>
      </c>
      <c r="K220" s="4">
        <v>0.1</v>
      </c>
      <c r="L220" s="7">
        <f t="shared" si="19"/>
        <v>168</v>
      </c>
      <c r="M220" s="7">
        <f t="shared" si="20"/>
        <v>1512</v>
      </c>
      <c r="N220" s="7">
        <f>_xlfn.XLOOKUP(E220,Product_Lookup!$A$2:$A$14,Product_Lookup!$E$2:$E$14)</f>
        <v>280</v>
      </c>
      <c r="O220" s="7">
        <f t="shared" si="21"/>
        <v>1120</v>
      </c>
      <c r="P220" s="7">
        <f t="shared" si="22"/>
        <v>392</v>
      </c>
      <c r="Q220" s="10">
        <f t="shared" si="23"/>
        <v>0.25925925925925924</v>
      </c>
      <c r="R220" t="s">
        <v>13</v>
      </c>
      <c r="S220" t="s">
        <v>22</v>
      </c>
    </row>
    <row r="221" spans="1:19">
      <c r="A221" t="s">
        <v>260</v>
      </c>
      <c r="B221" s="3">
        <v>46165</v>
      </c>
      <c r="C221" t="s">
        <v>24</v>
      </c>
      <c r="D221" t="s">
        <v>11</v>
      </c>
      <c r="E221" t="s">
        <v>76</v>
      </c>
      <c r="F221" t="str">
        <f>_xlfn.XLOOKUP(E221,Product_Lookup!$A$2:$A$14,Product_Lookup!$B$2:$B$14)</f>
        <v>Cookware Set</v>
      </c>
      <c r="G221" t="str">
        <f>_xlfn.XLOOKUP(Sales_Data!E221,Product_Lookup!$A$2:$A$14,Product_Lookup!$C$2:$C$14)</f>
        <v>Kitchenware</v>
      </c>
      <c r="H221">
        <f>_xlfn.XLOOKUP(E221,Product_Lookup!$A$2:$A$14,Product_Lookup!$D$2:$D$14)</f>
        <v>110</v>
      </c>
      <c r="I221">
        <v>6</v>
      </c>
      <c r="J221">
        <f t="shared" si="18"/>
        <v>660</v>
      </c>
      <c r="K221" s="4">
        <v>0</v>
      </c>
      <c r="L221" s="7">
        <f t="shared" si="19"/>
        <v>0</v>
      </c>
      <c r="M221" s="7">
        <f t="shared" si="20"/>
        <v>660</v>
      </c>
      <c r="N221" s="7">
        <f>_xlfn.XLOOKUP(E221,Product_Lookup!$A$2:$A$14,Product_Lookup!$E$2:$E$14)</f>
        <v>65</v>
      </c>
      <c r="O221" s="7">
        <f t="shared" si="21"/>
        <v>390</v>
      </c>
      <c r="P221" s="7">
        <f t="shared" si="22"/>
        <v>270</v>
      </c>
      <c r="Q221" s="10">
        <f t="shared" si="23"/>
        <v>0.40909090909090912</v>
      </c>
      <c r="R221" t="s">
        <v>13</v>
      </c>
      <c r="S221" t="s">
        <v>14</v>
      </c>
    </row>
    <row r="222" spans="1:19">
      <c r="A222" t="s">
        <v>261</v>
      </c>
      <c r="B222" s="3">
        <v>46122</v>
      </c>
      <c r="C222" t="s">
        <v>29</v>
      </c>
      <c r="D222" t="s">
        <v>11</v>
      </c>
      <c r="E222" t="s">
        <v>41</v>
      </c>
      <c r="F222" t="str">
        <f>_xlfn.XLOOKUP(E222,Product_Lookup!$A$2:$A$14,Product_Lookup!$B$2:$B$14)</f>
        <v>Floor Lamp</v>
      </c>
      <c r="G222" t="str">
        <f>_xlfn.XLOOKUP(Sales_Data!E222,Product_Lookup!$A$2:$A$14,Product_Lookup!$C$2:$C$14)</f>
        <v>Lighting</v>
      </c>
      <c r="H222">
        <f>_xlfn.XLOOKUP(E222,Product_Lookup!$A$2:$A$14,Product_Lookup!$D$2:$D$14)</f>
        <v>125</v>
      </c>
      <c r="I222">
        <v>2</v>
      </c>
      <c r="J222">
        <f t="shared" si="18"/>
        <v>250</v>
      </c>
      <c r="K222" s="4">
        <v>0</v>
      </c>
      <c r="L222" s="7">
        <f t="shared" si="19"/>
        <v>0</v>
      </c>
      <c r="M222" s="7">
        <f t="shared" si="20"/>
        <v>250</v>
      </c>
      <c r="N222" s="7">
        <f>_xlfn.XLOOKUP(E222,Product_Lookup!$A$2:$A$14,Product_Lookup!$E$2:$E$14)</f>
        <v>73</v>
      </c>
      <c r="O222" s="7">
        <f t="shared" si="21"/>
        <v>146</v>
      </c>
      <c r="P222" s="7">
        <f t="shared" si="22"/>
        <v>104</v>
      </c>
      <c r="Q222" s="10">
        <f t="shared" si="23"/>
        <v>0.41599999999999998</v>
      </c>
      <c r="R222" t="s">
        <v>13</v>
      </c>
      <c r="S222" t="s">
        <v>18</v>
      </c>
    </row>
    <row r="223" spans="1:19">
      <c r="A223" t="s">
        <v>262</v>
      </c>
      <c r="B223" s="3">
        <v>46167</v>
      </c>
      <c r="C223" t="s">
        <v>10</v>
      </c>
      <c r="D223" t="s">
        <v>16</v>
      </c>
      <c r="E223" t="s">
        <v>30</v>
      </c>
      <c r="F223" t="str">
        <f>_xlfn.XLOOKUP(E223,Product_Lookup!$A$2:$A$14,Product_Lookup!$B$2:$B$14)</f>
        <v>Dining Chair</v>
      </c>
      <c r="G223" t="str">
        <f>_xlfn.XLOOKUP(Sales_Data!E223,Product_Lookup!$A$2:$A$14,Product_Lookup!$C$2:$C$14)</f>
        <v>Furniture</v>
      </c>
      <c r="H223">
        <f>_xlfn.XLOOKUP(E223,Product_Lookup!$A$2:$A$14,Product_Lookup!$D$2:$D$14)</f>
        <v>95</v>
      </c>
      <c r="I223">
        <v>6</v>
      </c>
      <c r="J223">
        <f t="shared" si="18"/>
        <v>570</v>
      </c>
      <c r="K223" s="4">
        <v>0.05</v>
      </c>
      <c r="L223" s="7">
        <f t="shared" si="19"/>
        <v>28.5</v>
      </c>
      <c r="M223" s="7">
        <f t="shared" si="20"/>
        <v>541.5</v>
      </c>
      <c r="N223" s="7">
        <f>_xlfn.XLOOKUP(E223,Product_Lookup!$A$2:$A$14,Product_Lookup!$E$2:$E$14)</f>
        <v>54</v>
      </c>
      <c r="O223" s="7">
        <f t="shared" si="21"/>
        <v>324</v>
      </c>
      <c r="P223" s="7">
        <f t="shared" si="22"/>
        <v>217.5</v>
      </c>
      <c r="Q223" s="10">
        <f t="shared" si="23"/>
        <v>0.40166204986149584</v>
      </c>
      <c r="R223" t="s">
        <v>36</v>
      </c>
      <c r="S223" t="s">
        <v>14</v>
      </c>
    </row>
    <row r="224" spans="1:19">
      <c r="A224" t="s">
        <v>263</v>
      </c>
      <c r="B224" s="3">
        <v>46163</v>
      </c>
      <c r="C224" t="s">
        <v>24</v>
      </c>
      <c r="D224" t="s">
        <v>16</v>
      </c>
      <c r="E224" t="s">
        <v>32</v>
      </c>
      <c r="F224" t="str">
        <f>_xlfn.XLOOKUP(E224,Product_Lookup!$A$2:$A$14,Product_Lookup!$B$2:$B$14)</f>
        <v>Sofa</v>
      </c>
      <c r="G224" t="str">
        <f>_xlfn.XLOOKUP(Sales_Data!E224,Product_Lookup!$A$2:$A$14,Product_Lookup!$C$2:$C$14)</f>
        <v>Furniture</v>
      </c>
      <c r="H224">
        <f>_xlfn.XLOOKUP(E224,Product_Lookup!$A$2:$A$14,Product_Lookup!$D$2:$D$14)</f>
        <v>420</v>
      </c>
      <c r="I224">
        <v>4</v>
      </c>
      <c r="J224">
        <f t="shared" si="18"/>
        <v>1680</v>
      </c>
      <c r="K224" s="4">
        <v>0.05</v>
      </c>
      <c r="L224" s="7">
        <f t="shared" si="19"/>
        <v>84</v>
      </c>
      <c r="M224" s="7">
        <f t="shared" si="20"/>
        <v>1596</v>
      </c>
      <c r="N224" s="7">
        <f>_xlfn.XLOOKUP(E224,Product_Lookup!$A$2:$A$14,Product_Lookup!$E$2:$E$14)</f>
        <v>280</v>
      </c>
      <c r="O224" s="7">
        <f t="shared" si="21"/>
        <v>1120</v>
      </c>
      <c r="P224" s="7">
        <f t="shared" si="22"/>
        <v>476</v>
      </c>
      <c r="Q224" s="10">
        <f t="shared" si="23"/>
        <v>0.2982456140350877</v>
      </c>
      <c r="R224" t="s">
        <v>13</v>
      </c>
      <c r="S224" t="s">
        <v>22</v>
      </c>
    </row>
    <row r="225" spans="1:19">
      <c r="A225" t="s">
        <v>264</v>
      </c>
      <c r="B225" s="3">
        <v>46027</v>
      </c>
      <c r="C225" t="s">
        <v>44</v>
      </c>
      <c r="D225" t="s">
        <v>11</v>
      </c>
      <c r="E225" t="s">
        <v>76</v>
      </c>
      <c r="F225" t="str">
        <f>_xlfn.XLOOKUP(E225,Product_Lookup!$A$2:$A$14,Product_Lookup!$B$2:$B$14)</f>
        <v>Cookware Set</v>
      </c>
      <c r="G225" t="str">
        <f>_xlfn.XLOOKUP(Sales_Data!E225,Product_Lookup!$A$2:$A$14,Product_Lookup!$C$2:$C$14)</f>
        <v>Kitchenware</v>
      </c>
      <c r="H225">
        <f>_xlfn.XLOOKUP(E225,Product_Lookup!$A$2:$A$14,Product_Lookup!$D$2:$D$14)</f>
        <v>110</v>
      </c>
      <c r="I225">
        <v>6</v>
      </c>
      <c r="J225">
        <f t="shared" si="18"/>
        <v>660</v>
      </c>
      <c r="K225" s="4">
        <v>0.25</v>
      </c>
      <c r="L225" s="7">
        <f t="shared" si="19"/>
        <v>165</v>
      </c>
      <c r="M225" s="7">
        <f t="shared" si="20"/>
        <v>495</v>
      </c>
      <c r="N225" s="7">
        <f>_xlfn.XLOOKUP(E225,Product_Lookup!$A$2:$A$14,Product_Lookup!$E$2:$E$14)</f>
        <v>65</v>
      </c>
      <c r="O225" s="7">
        <f t="shared" si="21"/>
        <v>390</v>
      </c>
      <c r="P225" s="7">
        <f t="shared" si="22"/>
        <v>105</v>
      </c>
      <c r="Q225" s="10">
        <f t="shared" si="23"/>
        <v>0.21212121212121213</v>
      </c>
      <c r="R225" t="s">
        <v>13</v>
      </c>
      <c r="S225" t="s">
        <v>39</v>
      </c>
    </row>
    <row r="226" spans="1:19">
      <c r="A226" t="s">
        <v>265</v>
      </c>
      <c r="B226" s="3">
        <v>46063</v>
      </c>
      <c r="C226" t="s">
        <v>29</v>
      </c>
      <c r="D226" t="s">
        <v>11</v>
      </c>
      <c r="E226" t="s">
        <v>30</v>
      </c>
      <c r="F226" t="str">
        <f>_xlfn.XLOOKUP(E226,Product_Lookup!$A$2:$A$14,Product_Lookup!$B$2:$B$14)</f>
        <v>Dining Chair</v>
      </c>
      <c r="G226" t="str">
        <f>_xlfn.XLOOKUP(Sales_Data!E226,Product_Lookup!$A$2:$A$14,Product_Lookup!$C$2:$C$14)</f>
        <v>Furniture</v>
      </c>
      <c r="H226">
        <f>_xlfn.XLOOKUP(E226,Product_Lookup!$A$2:$A$14,Product_Lookup!$D$2:$D$14)</f>
        <v>95</v>
      </c>
      <c r="I226">
        <v>3</v>
      </c>
      <c r="J226">
        <f t="shared" si="18"/>
        <v>285</v>
      </c>
      <c r="K226" s="4">
        <v>0.15</v>
      </c>
      <c r="L226" s="7">
        <f t="shared" si="19"/>
        <v>42.75</v>
      </c>
      <c r="M226" s="7">
        <f t="shared" si="20"/>
        <v>242.25</v>
      </c>
      <c r="N226" s="7">
        <f>_xlfn.XLOOKUP(E226,Product_Lookup!$A$2:$A$14,Product_Lookup!$E$2:$E$14)</f>
        <v>54</v>
      </c>
      <c r="O226" s="7">
        <f t="shared" si="21"/>
        <v>162</v>
      </c>
      <c r="P226" s="7">
        <f t="shared" si="22"/>
        <v>80.25</v>
      </c>
      <c r="Q226" s="10">
        <f t="shared" si="23"/>
        <v>0.33126934984520123</v>
      </c>
      <c r="R226" t="s">
        <v>13</v>
      </c>
      <c r="S226" t="s">
        <v>22</v>
      </c>
    </row>
    <row r="227" spans="1:19">
      <c r="A227" t="s">
        <v>266</v>
      </c>
      <c r="B227" s="3">
        <v>46148</v>
      </c>
      <c r="C227" t="s">
        <v>38</v>
      </c>
      <c r="D227" t="s">
        <v>11</v>
      </c>
      <c r="E227" t="s">
        <v>98</v>
      </c>
      <c r="F227" t="str">
        <f>_xlfn.XLOOKUP(E227,Product_Lookup!$A$2:$A$14,Product_Lookup!$B$2:$B$14)</f>
        <v>Blender</v>
      </c>
      <c r="G227" t="str">
        <f>_xlfn.XLOOKUP(Sales_Data!E227,Product_Lookup!$A$2:$A$14,Product_Lookup!$C$2:$C$14)</f>
        <v>Kitchenware</v>
      </c>
      <c r="H227">
        <f>_xlfn.XLOOKUP(E227,Product_Lookup!$A$2:$A$14,Product_Lookup!$D$2:$D$14)</f>
        <v>75</v>
      </c>
      <c r="I227">
        <v>4</v>
      </c>
      <c r="J227">
        <f t="shared" si="18"/>
        <v>300</v>
      </c>
      <c r="K227" s="4">
        <v>0</v>
      </c>
      <c r="L227" s="7">
        <f t="shared" si="19"/>
        <v>0</v>
      </c>
      <c r="M227" s="7">
        <f t="shared" si="20"/>
        <v>300</v>
      </c>
      <c r="N227" s="7">
        <f>_xlfn.XLOOKUP(E227,Product_Lookup!$A$2:$A$14,Product_Lookup!$E$2:$E$14)</f>
        <v>43</v>
      </c>
      <c r="O227" s="7">
        <f t="shared" si="21"/>
        <v>172</v>
      </c>
      <c r="P227" s="7">
        <f t="shared" si="22"/>
        <v>128</v>
      </c>
      <c r="Q227" s="10">
        <f t="shared" si="23"/>
        <v>0.42666666666666669</v>
      </c>
      <c r="R227" t="s">
        <v>13</v>
      </c>
      <c r="S227" t="s">
        <v>22</v>
      </c>
    </row>
    <row r="228" spans="1:19">
      <c r="A228" t="s">
        <v>267</v>
      </c>
      <c r="B228" s="3">
        <v>46170</v>
      </c>
      <c r="C228" t="s">
        <v>24</v>
      </c>
      <c r="D228" t="s">
        <v>11</v>
      </c>
      <c r="E228" t="s">
        <v>27</v>
      </c>
      <c r="F228" t="str">
        <f>_xlfn.XLOOKUP(E228,Product_Lookup!$A$2:$A$14,Product_Lookup!$B$2:$B$14)</f>
        <v>Kettle</v>
      </c>
      <c r="G228" t="str">
        <f>_xlfn.XLOOKUP(Sales_Data!E228,Product_Lookup!$A$2:$A$14,Product_Lookup!$C$2:$C$14)</f>
        <v>Kitchenware</v>
      </c>
      <c r="H228">
        <f>_xlfn.XLOOKUP(E228,Product_Lookup!$A$2:$A$14,Product_Lookup!$D$2:$D$14)</f>
        <v>38</v>
      </c>
      <c r="I228">
        <v>1</v>
      </c>
      <c r="J228">
        <f t="shared" si="18"/>
        <v>38</v>
      </c>
      <c r="K228" s="4">
        <v>0.2</v>
      </c>
      <c r="L228" s="7">
        <f t="shared" si="19"/>
        <v>7.6000000000000005</v>
      </c>
      <c r="M228" s="7">
        <f t="shared" si="20"/>
        <v>30.4</v>
      </c>
      <c r="N228" s="7">
        <f>_xlfn.XLOOKUP(E228,Product_Lookup!$A$2:$A$14,Product_Lookup!$E$2:$E$14)</f>
        <v>21</v>
      </c>
      <c r="O228" s="7">
        <f t="shared" si="21"/>
        <v>21</v>
      </c>
      <c r="P228" s="7">
        <f t="shared" si="22"/>
        <v>9.3999999999999986</v>
      </c>
      <c r="Q228" s="10">
        <f t="shared" si="23"/>
        <v>0.30921052631578944</v>
      </c>
      <c r="R228" t="s">
        <v>13</v>
      </c>
      <c r="S228" t="s">
        <v>14</v>
      </c>
    </row>
    <row r="229" spans="1:19">
      <c r="A229" t="s">
        <v>268</v>
      </c>
      <c r="B229" s="3">
        <v>46129</v>
      </c>
      <c r="C229" t="s">
        <v>10</v>
      </c>
      <c r="D229" t="s">
        <v>16</v>
      </c>
      <c r="E229" t="s">
        <v>12</v>
      </c>
      <c r="F229" t="str">
        <f>_xlfn.XLOOKUP(E229,Product_Lookup!$A$2:$A$14,Product_Lookup!$B$2:$B$14)</f>
        <v>Desk</v>
      </c>
      <c r="G229" t="str">
        <f>_xlfn.XLOOKUP(Sales_Data!E229,Product_Lookup!$A$2:$A$14,Product_Lookup!$C$2:$C$14)</f>
        <v>Furniture</v>
      </c>
      <c r="H229">
        <f>_xlfn.XLOOKUP(E229,Product_Lookup!$A$2:$A$14,Product_Lookup!$D$2:$D$14)</f>
        <v>210</v>
      </c>
      <c r="I229">
        <v>4</v>
      </c>
      <c r="J229">
        <f t="shared" si="18"/>
        <v>840</v>
      </c>
      <c r="K229" s="4">
        <v>0.2</v>
      </c>
      <c r="L229" s="7">
        <f t="shared" si="19"/>
        <v>168</v>
      </c>
      <c r="M229" s="7">
        <f t="shared" si="20"/>
        <v>672</v>
      </c>
      <c r="N229" s="7">
        <f>_xlfn.XLOOKUP(E229,Product_Lookup!$A$2:$A$14,Product_Lookup!$E$2:$E$14)</f>
        <v>132</v>
      </c>
      <c r="O229" s="7">
        <f t="shared" si="21"/>
        <v>528</v>
      </c>
      <c r="P229" s="7">
        <f t="shared" si="22"/>
        <v>144</v>
      </c>
      <c r="Q229" s="10">
        <f t="shared" si="23"/>
        <v>0.21428571428571427</v>
      </c>
      <c r="R229" t="s">
        <v>13</v>
      </c>
      <c r="S229" t="s">
        <v>22</v>
      </c>
    </row>
    <row r="230" spans="1:19">
      <c r="A230" t="s">
        <v>269</v>
      </c>
      <c r="B230" s="3">
        <v>46106</v>
      </c>
      <c r="C230" t="s">
        <v>44</v>
      </c>
      <c r="D230" t="s">
        <v>11</v>
      </c>
      <c r="E230" t="s">
        <v>98</v>
      </c>
      <c r="F230" t="str">
        <f>_xlfn.XLOOKUP(E230,Product_Lookup!$A$2:$A$14,Product_Lookup!$B$2:$B$14)</f>
        <v>Blender</v>
      </c>
      <c r="G230" t="str">
        <f>_xlfn.XLOOKUP(Sales_Data!E230,Product_Lookup!$A$2:$A$14,Product_Lookup!$C$2:$C$14)</f>
        <v>Kitchenware</v>
      </c>
      <c r="H230">
        <f>_xlfn.XLOOKUP(E230,Product_Lookup!$A$2:$A$14,Product_Lookup!$D$2:$D$14)</f>
        <v>75</v>
      </c>
      <c r="I230">
        <v>6</v>
      </c>
      <c r="J230">
        <f t="shared" si="18"/>
        <v>450</v>
      </c>
      <c r="K230" s="4">
        <v>0.15</v>
      </c>
      <c r="L230" s="7">
        <f t="shared" si="19"/>
        <v>67.5</v>
      </c>
      <c r="M230" s="7">
        <f t="shared" si="20"/>
        <v>382.5</v>
      </c>
      <c r="N230" s="7">
        <f>_xlfn.XLOOKUP(E230,Product_Lookup!$A$2:$A$14,Product_Lookup!$E$2:$E$14)</f>
        <v>43</v>
      </c>
      <c r="O230" s="7">
        <f t="shared" si="21"/>
        <v>258</v>
      </c>
      <c r="P230" s="7">
        <f t="shared" si="22"/>
        <v>124.5</v>
      </c>
      <c r="Q230" s="10">
        <f t="shared" si="23"/>
        <v>0.32549019607843138</v>
      </c>
      <c r="R230" t="s">
        <v>13</v>
      </c>
      <c r="S230" t="s">
        <v>18</v>
      </c>
    </row>
    <row r="231" spans="1:19">
      <c r="A231" t="s">
        <v>270</v>
      </c>
      <c r="B231" s="3">
        <v>46193</v>
      </c>
      <c r="C231" t="s">
        <v>44</v>
      </c>
      <c r="D231" t="s">
        <v>16</v>
      </c>
      <c r="E231" t="s">
        <v>41</v>
      </c>
      <c r="F231" t="str">
        <f>_xlfn.XLOOKUP(E231,Product_Lookup!$A$2:$A$14,Product_Lookup!$B$2:$B$14)</f>
        <v>Floor Lamp</v>
      </c>
      <c r="G231" t="str">
        <f>_xlfn.XLOOKUP(Sales_Data!E231,Product_Lookup!$A$2:$A$14,Product_Lookup!$C$2:$C$14)</f>
        <v>Lighting</v>
      </c>
      <c r="H231">
        <f>_xlfn.XLOOKUP(E231,Product_Lookup!$A$2:$A$14,Product_Lookup!$D$2:$D$14)</f>
        <v>125</v>
      </c>
      <c r="I231">
        <v>3</v>
      </c>
      <c r="J231">
        <f t="shared" si="18"/>
        <v>375</v>
      </c>
      <c r="K231" s="4">
        <v>0.15</v>
      </c>
      <c r="L231" s="7">
        <f t="shared" si="19"/>
        <v>56.25</v>
      </c>
      <c r="M231" s="7">
        <f t="shared" si="20"/>
        <v>318.75</v>
      </c>
      <c r="N231" s="7">
        <f>_xlfn.XLOOKUP(E231,Product_Lookup!$A$2:$A$14,Product_Lookup!$E$2:$E$14)</f>
        <v>73</v>
      </c>
      <c r="O231" s="7">
        <f t="shared" si="21"/>
        <v>219</v>
      </c>
      <c r="P231" s="7">
        <f t="shared" si="22"/>
        <v>99.75</v>
      </c>
      <c r="Q231" s="10">
        <f t="shared" si="23"/>
        <v>0.31294117647058822</v>
      </c>
      <c r="R231" t="s">
        <v>13</v>
      </c>
      <c r="S231" t="s">
        <v>33</v>
      </c>
    </row>
    <row r="232" spans="1:19">
      <c r="A232" t="s">
        <v>271</v>
      </c>
      <c r="B232" s="3">
        <v>46139</v>
      </c>
      <c r="C232" t="s">
        <v>38</v>
      </c>
      <c r="D232" t="s">
        <v>20</v>
      </c>
      <c r="E232" t="s">
        <v>12</v>
      </c>
      <c r="F232" t="str">
        <f>_xlfn.XLOOKUP(E232,Product_Lookup!$A$2:$A$14,Product_Lookup!$B$2:$B$14)</f>
        <v>Desk</v>
      </c>
      <c r="G232" t="str">
        <f>_xlfn.XLOOKUP(Sales_Data!E232,Product_Lookup!$A$2:$A$14,Product_Lookup!$C$2:$C$14)</f>
        <v>Furniture</v>
      </c>
      <c r="H232">
        <f>_xlfn.XLOOKUP(E232,Product_Lookup!$A$2:$A$14,Product_Lookup!$D$2:$D$14)</f>
        <v>210</v>
      </c>
      <c r="I232">
        <v>1</v>
      </c>
      <c r="J232">
        <f t="shared" si="18"/>
        <v>210</v>
      </c>
      <c r="K232" s="4">
        <v>0.05</v>
      </c>
      <c r="L232" s="7">
        <f t="shared" si="19"/>
        <v>10.5</v>
      </c>
      <c r="M232" s="7">
        <f t="shared" si="20"/>
        <v>199.5</v>
      </c>
      <c r="N232" s="7">
        <f>_xlfn.XLOOKUP(E232,Product_Lookup!$A$2:$A$14,Product_Lookup!$E$2:$E$14)</f>
        <v>132</v>
      </c>
      <c r="O232" s="7">
        <f t="shared" si="21"/>
        <v>132</v>
      </c>
      <c r="P232" s="7">
        <f t="shared" si="22"/>
        <v>67.5</v>
      </c>
      <c r="Q232" s="10">
        <f t="shared" si="23"/>
        <v>0.33834586466165412</v>
      </c>
      <c r="R232" t="s">
        <v>13</v>
      </c>
      <c r="S232" t="s">
        <v>33</v>
      </c>
    </row>
    <row r="233" spans="1:19">
      <c r="A233" t="s">
        <v>272</v>
      </c>
      <c r="B233" s="3">
        <v>46099</v>
      </c>
      <c r="C233" t="s">
        <v>29</v>
      </c>
      <c r="D233" t="s">
        <v>20</v>
      </c>
      <c r="E233" t="s">
        <v>25</v>
      </c>
      <c r="F233" t="str">
        <f>_xlfn.XLOOKUP(E233,Product_Lookup!$A$2:$A$14,Product_Lookup!$B$2:$B$14)</f>
        <v>Table Lamp</v>
      </c>
      <c r="G233" t="str">
        <f>_xlfn.XLOOKUP(Sales_Data!E233,Product_Lookup!$A$2:$A$14,Product_Lookup!$C$2:$C$14)</f>
        <v>Lighting</v>
      </c>
      <c r="H233">
        <f>_xlfn.XLOOKUP(E233,Product_Lookup!$A$2:$A$14,Product_Lookup!$D$2:$D$14)</f>
        <v>62</v>
      </c>
      <c r="I233">
        <v>3</v>
      </c>
      <c r="J233">
        <f t="shared" si="18"/>
        <v>186</v>
      </c>
      <c r="K233" s="4">
        <v>0.1</v>
      </c>
      <c r="L233" s="7">
        <f t="shared" si="19"/>
        <v>18.600000000000001</v>
      </c>
      <c r="M233" s="7">
        <f t="shared" si="20"/>
        <v>167.4</v>
      </c>
      <c r="N233" s="7">
        <f>_xlfn.XLOOKUP(E233,Product_Lookup!$A$2:$A$14,Product_Lookup!$E$2:$E$14)</f>
        <v>31</v>
      </c>
      <c r="O233" s="7">
        <f t="shared" si="21"/>
        <v>93</v>
      </c>
      <c r="P233" s="7">
        <f t="shared" si="22"/>
        <v>74.400000000000006</v>
      </c>
      <c r="Q233" s="10">
        <f t="shared" si="23"/>
        <v>0.44444444444444448</v>
      </c>
      <c r="R233" t="s">
        <v>13</v>
      </c>
      <c r="S233" t="s">
        <v>42</v>
      </c>
    </row>
    <row r="234" spans="1:19">
      <c r="A234" t="s">
        <v>273</v>
      </c>
      <c r="B234" s="3">
        <v>46154</v>
      </c>
      <c r="C234" t="s">
        <v>24</v>
      </c>
      <c r="D234" t="s">
        <v>20</v>
      </c>
      <c r="E234" t="s">
        <v>67</v>
      </c>
      <c r="F234" t="str">
        <f>_xlfn.XLOOKUP(E234,Product_Lookup!$A$2:$A$14,Product_Lookup!$B$2:$B$14)</f>
        <v>Rug</v>
      </c>
      <c r="G234" t="str">
        <f>_xlfn.XLOOKUP(Sales_Data!E234,Product_Lookup!$A$2:$A$14,Product_Lookup!$C$2:$C$14)</f>
        <v>Home Accessories</v>
      </c>
      <c r="H234">
        <f>_xlfn.XLOOKUP(E234,Product_Lookup!$A$2:$A$14,Product_Lookup!$D$2:$D$14)</f>
        <v>145</v>
      </c>
      <c r="I234">
        <v>3</v>
      </c>
      <c r="J234">
        <f t="shared" si="18"/>
        <v>435</v>
      </c>
      <c r="K234" s="4">
        <v>0.15</v>
      </c>
      <c r="L234" s="7">
        <f t="shared" si="19"/>
        <v>65.25</v>
      </c>
      <c r="M234" s="7">
        <f t="shared" si="20"/>
        <v>369.75</v>
      </c>
      <c r="N234" s="7">
        <f>_xlfn.XLOOKUP(E234,Product_Lookup!$A$2:$A$14,Product_Lookup!$E$2:$E$14)</f>
        <v>88</v>
      </c>
      <c r="O234" s="7">
        <f t="shared" si="21"/>
        <v>264</v>
      </c>
      <c r="P234" s="7">
        <f t="shared" si="22"/>
        <v>105.75</v>
      </c>
      <c r="Q234" s="10">
        <f t="shared" si="23"/>
        <v>0.28600405679513186</v>
      </c>
      <c r="R234" t="s">
        <v>13</v>
      </c>
      <c r="S234" t="s">
        <v>39</v>
      </c>
    </row>
    <row r="235" spans="1:19">
      <c r="A235" t="s">
        <v>274</v>
      </c>
      <c r="B235" s="3">
        <v>46114</v>
      </c>
      <c r="C235" t="s">
        <v>44</v>
      </c>
      <c r="D235" t="s">
        <v>11</v>
      </c>
      <c r="E235" t="s">
        <v>17</v>
      </c>
      <c r="F235" t="str">
        <f>_xlfn.XLOOKUP(E235,Product_Lookup!$A$2:$A$14,Product_Lookup!$B$2:$B$14)</f>
        <v>Storage Box</v>
      </c>
      <c r="G235" t="str">
        <f>_xlfn.XLOOKUP(Sales_Data!E235,Product_Lookup!$A$2:$A$14,Product_Lookup!$C$2:$C$14)</f>
        <v>Storage</v>
      </c>
      <c r="H235">
        <f>_xlfn.XLOOKUP(E235,Product_Lookup!$A$2:$A$14,Product_Lookup!$D$2:$D$14)</f>
        <v>26</v>
      </c>
      <c r="I235">
        <v>3</v>
      </c>
      <c r="J235">
        <f t="shared" si="18"/>
        <v>78</v>
      </c>
      <c r="K235" s="4">
        <v>0.1</v>
      </c>
      <c r="L235" s="7">
        <f t="shared" si="19"/>
        <v>7.8000000000000007</v>
      </c>
      <c r="M235" s="7">
        <f t="shared" si="20"/>
        <v>70.2</v>
      </c>
      <c r="N235" s="7">
        <f>_xlfn.XLOOKUP(E235,Product_Lookup!$A$2:$A$14,Product_Lookup!$E$2:$E$14)</f>
        <v>11</v>
      </c>
      <c r="O235" s="7">
        <f t="shared" si="21"/>
        <v>33</v>
      </c>
      <c r="P235" s="7">
        <f t="shared" si="22"/>
        <v>37.200000000000003</v>
      </c>
      <c r="Q235" s="10">
        <f t="shared" si="23"/>
        <v>0.52991452991452992</v>
      </c>
      <c r="R235" t="s">
        <v>36</v>
      </c>
      <c r="S235" t="s">
        <v>42</v>
      </c>
    </row>
    <row r="236" spans="1:19">
      <c r="A236" t="s">
        <v>275</v>
      </c>
      <c r="B236" s="3">
        <v>46126</v>
      </c>
      <c r="C236" t="s">
        <v>29</v>
      </c>
      <c r="D236" t="s">
        <v>20</v>
      </c>
      <c r="E236" t="s">
        <v>45</v>
      </c>
      <c r="F236" t="str">
        <f>_xlfn.XLOOKUP(E236,Product_Lookup!$A$2:$A$14,Product_Lookup!$B$2:$B$14)</f>
        <v>Cushion Set</v>
      </c>
      <c r="G236" t="str">
        <f>_xlfn.XLOOKUP(Sales_Data!E236,Product_Lookup!$A$2:$A$14,Product_Lookup!$C$2:$C$14)</f>
        <v>Home Accessories</v>
      </c>
      <c r="H236">
        <f>_xlfn.XLOOKUP(E236,Product_Lookup!$A$2:$A$14,Product_Lookup!$D$2:$D$14)</f>
        <v>32</v>
      </c>
      <c r="I236">
        <v>1</v>
      </c>
      <c r="J236">
        <f t="shared" si="18"/>
        <v>32</v>
      </c>
      <c r="K236" s="4">
        <v>0.05</v>
      </c>
      <c r="L236" s="7">
        <f t="shared" si="19"/>
        <v>1.6</v>
      </c>
      <c r="M236" s="7">
        <f t="shared" si="20"/>
        <v>30.4</v>
      </c>
      <c r="N236" s="7">
        <f>_xlfn.XLOOKUP(E236,Product_Lookup!$A$2:$A$14,Product_Lookup!$E$2:$E$14)</f>
        <v>14</v>
      </c>
      <c r="O236" s="7">
        <f t="shared" si="21"/>
        <v>14</v>
      </c>
      <c r="P236" s="7">
        <f t="shared" si="22"/>
        <v>16.399999999999999</v>
      </c>
      <c r="Q236" s="10">
        <f t="shared" si="23"/>
        <v>0.53947368421052633</v>
      </c>
      <c r="R236" t="s">
        <v>13</v>
      </c>
      <c r="S236" t="s">
        <v>33</v>
      </c>
    </row>
    <row r="237" spans="1:19">
      <c r="A237" t="s">
        <v>276</v>
      </c>
      <c r="B237" s="3">
        <v>46175</v>
      </c>
      <c r="C237" t="s">
        <v>10</v>
      </c>
      <c r="D237" t="s">
        <v>16</v>
      </c>
      <c r="E237" t="s">
        <v>27</v>
      </c>
      <c r="F237" t="str">
        <f>_xlfn.XLOOKUP(E237,Product_Lookup!$A$2:$A$14,Product_Lookup!$B$2:$B$14)</f>
        <v>Kettle</v>
      </c>
      <c r="G237" t="str">
        <f>_xlfn.XLOOKUP(Sales_Data!E237,Product_Lookup!$A$2:$A$14,Product_Lookup!$C$2:$C$14)</f>
        <v>Kitchenware</v>
      </c>
      <c r="H237">
        <f>_xlfn.XLOOKUP(E237,Product_Lookup!$A$2:$A$14,Product_Lookup!$D$2:$D$14)</f>
        <v>38</v>
      </c>
      <c r="I237">
        <v>5</v>
      </c>
      <c r="J237">
        <f t="shared" si="18"/>
        <v>190</v>
      </c>
      <c r="K237" s="4">
        <v>0.05</v>
      </c>
      <c r="L237" s="7">
        <f t="shared" si="19"/>
        <v>9.5</v>
      </c>
      <c r="M237" s="7">
        <f t="shared" si="20"/>
        <v>180.5</v>
      </c>
      <c r="N237" s="7">
        <f>_xlfn.XLOOKUP(E237,Product_Lookup!$A$2:$A$14,Product_Lookup!$E$2:$E$14)</f>
        <v>21</v>
      </c>
      <c r="O237" s="7">
        <f t="shared" si="21"/>
        <v>105</v>
      </c>
      <c r="P237" s="7">
        <f t="shared" si="22"/>
        <v>75.5</v>
      </c>
      <c r="Q237" s="10">
        <f t="shared" si="23"/>
        <v>0.4182825484764543</v>
      </c>
      <c r="R237" t="s">
        <v>36</v>
      </c>
      <c r="S237" t="s">
        <v>22</v>
      </c>
    </row>
    <row r="238" spans="1:19">
      <c r="A238" t="s">
        <v>277</v>
      </c>
      <c r="B238" s="3">
        <v>46172</v>
      </c>
      <c r="C238" t="s">
        <v>29</v>
      </c>
      <c r="D238" t="s">
        <v>11</v>
      </c>
      <c r="E238" t="s">
        <v>98</v>
      </c>
      <c r="F238" t="str">
        <f>_xlfn.XLOOKUP(E238,Product_Lookup!$A$2:$A$14,Product_Lookup!$B$2:$B$14)</f>
        <v>Blender</v>
      </c>
      <c r="G238" t="str">
        <f>_xlfn.XLOOKUP(Sales_Data!E238,Product_Lookup!$A$2:$A$14,Product_Lookup!$C$2:$C$14)</f>
        <v>Kitchenware</v>
      </c>
      <c r="H238">
        <f>_xlfn.XLOOKUP(E238,Product_Lookup!$A$2:$A$14,Product_Lookup!$D$2:$D$14)</f>
        <v>75</v>
      </c>
      <c r="I238">
        <v>2</v>
      </c>
      <c r="J238">
        <f t="shared" si="18"/>
        <v>150</v>
      </c>
      <c r="K238" s="4">
        <v>0.05</v>
      </c>
      <c r="L238" s="7">
        <f t="shared" si="19"/>
        <v>7.5</v>
      </c>
      <c r="M238" s="7">
        <f t="shared" si="20"/>
        <v>142.5</v>
      </c>
      <c r="N238" s="7">
        <f>_xlfn.XLOOKUP(E238,Product_Lookup!$A$2:$A$14,Product_Lookup!$E$2:$E$14)</f>
        <v>43</v>
      </c>
      <c r="O238" s="7">
        <f t="shared" si="21"/>
        <v>86</v>
      </c>
      <c r="P238" s="7">
        <f t="shared" si="22"/>
        <v>56.5</v>
      </c>
      <c r="Q238" s="10">
        <f t="shared" si="23"/>
        <v>0.39649122807017545</v>
      </c>
      <c r="R238" t="s">
        <v>13</v>
      </c>
      <c r="S238" t="s">
        <v>39</v>
      </c>
    </row>
    <row r="239" spans="1:19">
      <c r="A239" t="s">
        <v>278</v>
      </c>
      <c r="B239" s="3">
        <v>46077</v>
      </c>
      <c r="C239" t="s">
        <v>29</v>
      </c>
      <c r="D239" t="s">
        <v>16</v>
      </c>
      <c r="E239" t="s">
        <v>25</v>
      </c>
      <c r="F239" t="str">
        <f>_xlfn.XLOOKUP(E239,Product_Lookup!$A$2:$A$14,Product_Lookup!$B$2:$B$14)</f>
        <v>Table Lamp</v>
      </c>
      <c r="G239" t="str">
        <f>_xlfn.XLOOKUP(Sales_Data!E239,Product_Lookup!$A$2:$A$14,Product_Lookup!$C$2:$C$14)</f>
        <v>Lighting</v>
      </c>
      <c r="H239">
        <f>_xlfn.XLOOKUP(E239,Product_Lookup!$A$2:$A$14,Product_Lookup!$D$2:$D$14)</f>
        <v>62</v>
      </c>
      <c r="I239">
        <v>3</v>
      </c>
      <c r="J239">
        <f t="shared" si="18"/>
        <v>186</v>
      </c>
      <c r="K239" s="4">
        <v>0.2</v>
      </c>
      <c r="L239" s="7">
        <f t="shared" si="19"/>
        <v>37.200000000000003</v>
      </c>
      <c r="M239" s="7">
        <f t="shared" si="20"/>
        <v>148.80000000000001</v>
      </c>
      <c r="N239" s="7">
        <f>_xlfn.XLOOKUP(E239,Product_Lookup!$A$2:$A$14,Product_Lookup!$E$2:$E$14)</f>
        <v>31</v>
      </c>
      <c r="O239" s="7">
        <f t="shared" si="21"/>
        <v>93</v>
      </c>
      <c r="P239" s="7">
        <f t="shared" si="22"/>
        <v>55.800000000000011</v>
      </c>
      <c r="Q239" s="10">
        <f t="shared" si="23"/>
        <v>0.37500000000000006</v>
      </c>
      <c r="R239" t="s">
        <v>13</v>
      </c>
      <c r="S239" t="s">
        <v>39</v>
      </c>
    </row>
    <row r="240" spans="1:19">
      <c r="A240" t="s">
        <v>279</v>
      </c>
      <c r="B240" s="3">
        <v>46138</v>
      </c>
      <c r="C240" t="s">
        <v>24</v>
      </c>
      <c r="D240" t="s">
        <v>16</v>
      </c>
      <c r="E240" t="s">
        <v>57</v>
      </c>
      <c r="F240" t="str">
        <f>_xlfn.XLOOKUP(E240,Product_Lookup!$A$2:$A$14,Product_Lookup!$B$2:$B$14)</f>
        <v>Shelving Unit</v>
      </c>
      <c r="G240" t="str">
        <f>_xlfn.XLOOKUP(Sales_Data!E240,Product_Lookup!$A$2:$A$14,Product_Lookup!$C$2:$C$14)</f>
        <v>Storage</v>
      </c>
      <c r="H240">
        <f>_xlfn.XLOOKUP(E240,Product_Lookup!$A$2:$A$14,Product_Lookup!$D$2:$D$14)</f>
        <v>115</v>
      </c>
      <c r="I240">
        <v>1</v>
      </c>
      <c r="J240">
        <f t="shared" si="18"/>
        <v>115</v>
      </c>
      <c r="K240" s="4">
        <v>0</v>
      </c>
      <c r="L240" s="7">
        <f t="shared" si="19"/>
        <v>0</v>
      </c>
      <c r="M240" s="7">
        <f t="shared" si="20"/>
        <v>115</v>
      </c>
      <c r="N240" s="7">
        <f>_xlfn.XLOOKUP(E240,Product_Lookup!$A$2:$A$14,Product_Lookup!$E$2:$E$14)</f>
        <v>67</v>
      </c>
      <c r="O240" s="7">
        <f t="shared" si="21"/>
        <v>67</v>
      </c>
      <c r="P240" s="7">
        <f t="shared" si="22"/>
        <v>48</v>
      </c>
      <c r="Q240" s="10">
        <f t="shared" si="23"/>
        <v>0.41739130434782606</v>
      </c>
      <c r="R240" t="s">
        <v>13</v>
      </c>
      <c r="S240" t="s">
        <v>48</v>
      </c>
    </row>
    <row r="241" spans="1:19">
      <c r="A241" t="s">
        <v>280</v>
      </c>
      <c r="B241" s="3">
        <v>46142</v>
      </c>
      <c r="C241" t="s">
        <v>38</v>
      </c>
      <c r="D241" t="s">
        <v>16</v>
      </c>
      <c r="E241" t="s">
        <v>45</v>
      </c>
      <c r="F241" t="str">
        <f>_xlfn.XLOOKUP(E241,Product_Lookup!$A$2:$A$14,Product_Lookup!$B$2:$B$14)</f>
        <v>Cushion Set</v>
      </c>
      <c r="G241" t="str">
        <f>_xlfn.XLOOKUP(Sales_Data!E241,Product_Lookup!$A$2:$A$14,Product_Lookup!$C$2:$C$14)</f>
        <v>Home Accessories</v>
      </c>
      <c r="H241">
        <f>_xlfn.XLOOKUP(E241,Product_Lookup!$A$2:$A$14,Product_Lookup!$D$2:$D$14)</f>
        <v>32</v>
      </c>
      <c r="I241">
        <v>4</v>
      </c>
      <c r="J241">
        <f t="shared" si="18"/>
        <v>128</v>
      </c>
      <c r="K241" s="4">
        <v>0</v>
      </c>
      <c r="L241" s="7">
        <f t="shared" si="19"/>
        <v>0</v>
      </c>
      <c r="M241" s="7">
        <f t="shared" si="20"/>
        <v>128</v>
      </c>
      <c r="N241" s="7">
        <f>_xlfn.XLOOKUP(E241,Product_Lookup!$A$2:$A$14,Product_Lookup!$E$2:$E$14)</f>
        <v>14</v>
      </c>
      <c r="O241" s="7">
        <f t="shared" si="21"/>
        <v>56</v>
      </c>
      <c r="P241" s="7">
        <f t="shared" si="22"/>
        <v>72</v>
      </c>
      <c r="Q241" s="10">
        <f t="shared" si="23"/>
        <v>0.5625</v>
      </c>
      <c r="R241" t="s">
        <v>13</v>
      </c>
      <c r="S241" t="s">
        <v>33</v>
      </c>
    </row>
    <row r="242" spans="1:19">
      <c r="A242" t="s">
        <v>281</v>
      </c>
      <c r="B242" s="3">
        <v>46095</v>
      </c>
      <c r="C242" t="s">
        <v>29</v>
      </c>
      <c r="D242" t="s">
        <v>16</v>
      </c>
      <c r="E242" t="s">
        <v>98</v>
      </c>
      <c r="F242" t="str">
        <f>_xlfn.XLOOKUP(E242,Product_Lookup!$A$2:$A$14,Product_Lookup!$B$2:$B$14)</f>
        <v>Blender</v>
      </c>
      <c r="G242" t="str">
        <f>_xlfn.XLOOKUP(Sales_Data!E242,Product_Lookup!$A$2:$A$14,Product_Lookup!$C$2:$C$14)</f>
        <v>Kitchenware</v>
      </c>
      <c r="H242">
        <f>_xlfn.XLOOKUP(E242,Product_Lookup!$A$2:$A$14,Product_Lookup!$D$2:$D$14)</f>
        <v>75</v>
      </c>
      <c r="I242">
        <v>3</v>
      </c>
      <c r="J242">
        <f t="shared" si="18"/>
        <v>225</v>
      </c>
      <c r="K242" s="4">
        <v>0.15</v>
      </c>
      <c r="L242" s="7">
        <f t="shared" si="19"/>
        <v>33.75</v>
      </c>
      <c r="M242" s="7">
        <f t="shared" si="20"/>
        <v>191.25</v>
      </c>
      <c r="N242" s="7">
        <f>_xlfn.XLOOKUP(E242,Product_Lookup!$A$2:$A$14,Product_Lookup!$E$2:$E$14)</f>
        <v>43</v>
      </c>
      <c r="O242" s="7">
        <f t="shared" si="21"/>
        <v>129</v>
      </c>
      <c r="P242" s="7">
        <f t="shared" si="22"/>
        <v>62.25</v>
      </c>
      <c r="Q242" s="10">
        <f t="shared" si="23"/>
        <v>0.32549019607843138</v>
      </c>
      <c r="R242" t="s">
        <v>13</v>
      </c>
      <c r="S242" t="s">
        <v>18</v>
      </c>
    </row>
    <row r="243" spans="1:19">
      <c r="A243" t="s">
        <v>282</v>
      </c>
      <c r="B243" s="3">
        <v>46051</v>
      </c>
      <c r="C243" t="s">
        <v>24</v>
      </c>
      <c r="D243" t="s">
        <v>16</v>
      </c>
      <c r="E243" t="s">
        <v>54</v>
      </c>
      <c r="F243" t="str">
        <f>_xlfn.XLOOKUP(E243,Product_Lookup!$A$2:$A$14,Product_Lookup!$B$2:$B$14)</f>
        <v>Wall Mirror</v>
      </c>
      <c r="G243" t="str">
        <f>_xlfn.XLOOKUP(Sales_Data!E243,Product_Lookup!$A$2:$A$14,Product_Lookup!$C$2:$C$14)</f>
        <v>Home Accessories</v>
      </c>
      <c r="H243">
        <f>_xlfn.XLOOKUP(E243,Product_Lookup!$A$2:$A$14,Product_Lookup!$D$2:$D$14)</f>
        <v>85</v>
      </c>
      <c r="I243">
        <v>3</v>
      </c>
      <c r="J243">
        <f t="shared" si="18"/>
        <v>255</v>
      </c>
      <c r="K243" s="4">
        <v>0.15</v>
      </c>
      <c r="L243" s="7">
        <f t="shared" si="19"/>
        <v>38.25</v>
      </c>
      <c r="M243" s="7">
        <f t="shared" si="20"/>
        <v>216.75</v>
      </c>
      <c r="N243" s="7">
        <f>_xlfn.XLOOKUP(E243,Product_Lookup!$A$2:$A$14,Product_Lookup!$E$2:$E$14)</f>
        <v>41</v>
      </c>
      <c r="O243" s="7">
        <f t="shared" si="21"/>
        <v>123</v>
      </c>
      <c r="P243" s="7">
        <f t="shared" si="22"/>
        <v>93.75</v>
      </c>
      <c r="Q243" s="10">
        <f t="shared" si="23"/>
        <v>0.43252595155709345</v>
      </c>
      <c r="R243" t="s">
        <v>13</v>
      </c>
      <c r="S243" t="s">
        <v>18</v>
      </c>
    </row>
    <row r="244" spans="1:19">
      <c r="A244" t="s">
        <v>283</v>
      </c>
      <c r="B244" s="3">
        <v>46032</v>
      </c>
      <c r="C244" t="s">
        <v>10</v>
      </c>
      <c r="D244" t="s">
        <v>20</v>
      </c>
      <c r="E244" t="s">
        <v>17</v>
      </c>
      <c r="F244" t="str">
        <f>_xlfn.XLOOKUP(E244,Product_Lookup!$A$2:$A$14,Product_Lookup!$B$2:$B$14)</f>
        <v>Storage Box</v>
      </c>
      <c r="G244" t="str">
        <f>_xlfn.XLOOKUP(Sales_Data!E244,Product_Lookup!$A$2:$A$14,Product_Lookup!$C$2:$C$14)</f>
        <v>Storage</v>
      </c>
      <c r="H244">
        <f>_xlfn.XLOOKUP(E244,Product_Lookup!$A$2:$A$14,Product_Lookup!$D$2:$D$14)</f>
        <v>26</v>
      </c>
      <c r="I244">
        <v>5</v>
      </c>
      <c r="J244">
        <f t="shared" si="18"/>
        <v>130</v>
      </c>
      <c r="K244" s="4">
        <v>0.15</v>
      </c>
      <c r="L244" s="7">
        <f t="shared" si="19"/>
        <v>19.5</v>
      </c>
      <c r="M244" s="7">
        <f t="shared" si="20"/>
        <v>110.5</v>
      </c>
      <c r="N244" s="7">
        <f>_xlfn.XLOOKUP(E244,Product_Lookup!$A$2:$A$14,Product_Lookup!$E$2:$E$14)</f>
        <v>11</v>
      </c>
      <c r="O244" s="7">
        <f t="shared" si="21"/>
        <v>55</v>
      </c>
      <c r="P244" s="7">
        <f t="shared" si="22"/>
        <v>55.5</v>
      </c>
      <c r="Q244" s="10">
        <f t="shared" si="23"/>
        <v>0.50226244343891402</v>
      </c>
      <c r="R244" t="s">
        <v>13</v>
      </c>
      <c r="S244" t="s">
        <v>14</v>
      </c>
    </row>
    <row r="245" spans="1:19">
      <c r="A245" t="s">
        <v>284</v>
      </c>
      <c r="B245" s="3">
        <v>46155</v>
      </c>
      <c r="C245" t="s">
        <v>29</v>
      </c>
      <c r="D245" t="s">
        <v>16</v>
      </c>
      <c r="E245" t="s">
        <v>27</v>
      </c>
      <c r="F245" t="str">
        <f>_xlfn.XLOOKUP(E245,Product_Lookup!$A$2:$A$14,Product_Lookup!$B$2:$B$14)</f>
        <v>Kettle</v>
      </c>
      <c r="G245" t="str">
        <f>_xlfn.XLOOKUP(Sales_Data!E245,Product_Lookup!$A$2:$A$14,Product_Lookup!$C$2:$C$14)</f>
        <v>Kitchenware</v>
      </c>
      <c r="H245">
        <f>_xlfn.XLOOKUP(E245,Product_Lookup!$A$2:$A$14,Product_Lookup!$D$2:$D$14)</f>
        <v>38</v>
      </c>
      <c r="I245">
        <v>1</v>
      </c>
      <c r="J245">
        <f t="shared" si="18"/>
        <v>38</v>
      </c>
      <c r="K245" s="4">
        <v>0.05</v>
      </c>
      <c r="L245" s="7">
        <f t="shared" si="19"/>
        <v>1.9000000000000001</v>
      </c>
      <c r="M245" s="7">
        <f t="shared" si="20"/>
        <v>36.1</v>
      </c>
      <c r="N245" s="7">
        <f>_xlfn.XLOOKUP(E245,Product_Lookup!$A$2:$A$14,Product_Lookup!$E$2:$E$14)</f>
        <v>21</v>
      </c>
      <c r="O245" s="7">
        <f t="shared" si="21"/>
        <v>21</v>
      </c>
      <c r="P245" s="7">
        <f t="shared" si="22"/>
        <v>15.100000000000001</v>
      </c>
      <c r="Q245" s="10">
        <f t="shared" si="23"/>
        <v>0.4182825484764543</v>
      </c>
      <c r="R245" t="s">
        <v>13</v>
      </c>
      <c r="S245" t="s">
        <v>22</v>
      </c>
    </row>
    <row r="246" spans="1:19">
      <c r="A246" t="s">
        <v>285</v>
      </c>
      <c r="B246" s="3">
        <v>46048</v>
      </c>
      <c r="C246" t="s">
        <v>10</v>
      </c>
      <c r="D246" t="s">
        <v>20</v>
      </c>
      <c r="E246" t="s">
        <v>25</v>
      </c>
      <c r="F246" t="str">
        <f>_xlfn.XLOOKUP(E246,Product_Lookup!$A$2:$A$14,Product_Lookup!$B$2:$B$14)</f>
        <v>Table Lamp</v>
      </c>
      <c r="G246" t="str">
        <f>_xlfn.XLOOKUP(Sales_Data!E246,Product_Lookup!$A$2:$A$14,Product_Lookup!$C$2:$C$14)</f>
        <v>Lighting</v>
      </c>
      <c r="H246">
        <f>_xlfn.XLOOKUP(E246,Product_Lookup!$A$2:$A$14,Product_Lookup!$D$2:$D$14)</f>
        <v>62</v>
      </c>
      <c r="I246">
        <v>4</v>
      </c>
      <c r="J246">
        <f t="shared" si="18"/>
        <v>248</v>
      </c>
      <c r="K246" s="4">
        <v>0.1</v>
      </c>
      <c r="L246" s="7">
        <f t="shared" si="19"/>
        <v>24.8</v>
      </c>
      <c r="M246" s="7">
        <f t="shared" si="20"/>
        <v>223.2</v>
      </c>
      <c r="N246" s="7">
        <f>_xlfn.XLOOKUP(E246,Product_Lookup!$A$2:$A$14,Product_Lookup!$E$2:$E$14)</f>
        <v>31</v>
      </c>
      <c r="O246" s="7">
        <f t="shared" si="21"/>
        <v>124</v>
      </c>
      <c r="P246" s="7">
        <f t="shared" si="22"/>
        <v>99.199999999999989</v>
      </c>
      <c r="Q246" s="10">
        <f t="shared" si="23"/>
        <v>0.44444444444444442</v>
      </c>
      <c r="R246" t="s">
        <v>13</v>
      </c>
      <c r="S246" t="s">
        <v>48</v>
      </c>
    </row>
    <row r="247" spans="1:19">
      <c r="A247" t="s">
        <v>286</v>
      </c>
      <c r="B247" s="3">
        <v>46057</v>
      </c>
      <c r="C247" t="s">
        <v>24</v>
      </c>
      <c r="D247" t="s">
        <v>16</v>
      </c>
      <c r="E247" t="s">
        <v>98</v>
      </c>
      <c r="F247" t="str">
        <f>_xlfn.XLOOKUP(E247,Product_Lookup!$A$2:$A$14,Product_Lookup!$B$2:$B$14)</f>
        <v>Blender</v>
      </c>
      <c r="G247" t="str">
        <f>_xlfn.XLOOKUP(Sales_Data!E247,Product_Lookup!$A$2:$A$14,Product_Lookup!$C$2:$C$14)</f>
        <v>Kitchenware</v>
      </c>
      <c r="H247">
        <f>_xlfn.XLOOKUP(E247,Product_Lookup!$A$2:$A$14,Product_Lookup!$D$2:$D$14)</f>
        <v>75</v>
      </c>
      <c r="I247">
        <v>2</v>
      </c>
      <c r="J247">
        <f t="shared" si="18"/>
        <v>150</v>
      </c>
      <c r="K247" s="4">
        <v>0</v>
      </c>
      <c r="L247" s="7">
        <f t="shared" si="19"/>
        <v>0</v>
      </c>
      <c r="M247" s="7">
        <f t="shared" si="20"/>
        <v>150</v>
      </c>
      <c r="N247" s="7">
        <f>_xlfn.XLOOKUP(E247,Product_Lookup!$A$2:$A$14,Product_Lookup!$E$2:$E$14)</f>
        <v>43</v>
      </c>
      <c r="O247" s="7">
        <f t="shared" si="21"/>
        <v>86</v>
      </c>
      <c r="P247" s="7">
        <f t="shared" si="22"/>
        <v>64</v>
      </c>
      <c r="Q247" s="10">
        <f t="shared" si="23"/>
        <v>0.42666666666666669</v>
      </c>
      <c r="R247" t="s">
        <v>21</v>
      </c>
      <c r="S247" t="s">
        <v>18</v>
      </c>
    </row>
    <row r="248" spans="1:19">
      <c r="A248" t="s">
        <v>287</v>
      </c>
      <c r="B248" s="3">
        <v>46129</v>
      </c>
      <c r="C248" t="s">
        <v>44</v>
      </c>
      <c r="D248" t="s">
        <v>16</v>
      </c>
      <c r="E248" t="s">
        <v>27</v>
      </c>
      <c r="F248" t="str">
        <f>_xlfn.XLOOKUP(E248,Product_Lookup!$A$2:$A$14,Product_Lookup!$B$2:$B$14)</f>
        <v>Kettle</v>
      </c>
      <c r="G248" t="str">
        <f>_xlfn.XLOOKUP(Sales_Data!E248,Product_Lookup!$A$2:$A$14,Product_Lookup!$C$2:$C$14)</f>
        <v>Kitchenware</v>
      </c>
      <c r="H248">
        <f>_xlfn.XLOOKUP(E248,Product_Lookup!$A$2:$A$14,Product_Lookup!$D$2:$D$14)</f>
        <v>38</v>
      </c>
      <c r="I248">
        <v>3</v>
      </c>
      <c r="J248">
        <f t="shared" si="18"/>
        <v>114</v>
      </c>
      <c r="K248" s="4">
        <v>0</v>
      </c>
      <c r="L248" s="7">
        <f t="shared" si="19"/>
        <v>0</v>
      </c>
      <c r="M248" s="7">
        <f t="shared" si="20"/>
        <v>114</v>
      </c>
      <c r="N248" s="7">
        <f>_xlfn.XLOOKUP(E248,Product_Lookup!$A$2:$A$14,Product_Lookup!$E$2:$E$14)</f>
        <v>21</v>
      </c>
      <c r="O248" s="7">
        <f t="shared" si="21"/>
        <v>63</v>
      </c>
      <c r="P248" s="7">
        <f t="shared" si="22"/>
        <v>51</v>
      </c>
      <c r="Q248" s="10">
        <f t="shared" si="23"/>
        <v>0.44736842105263158</v>
      </c>
      <c r="R248" t="s">
        <v>13</v>
      </c>
      <c r="S248" t="s">
        <v>14</v>
      </c>
    </row>
    <row r="249" spans="1:19">
      <c r="A249" t="s">
        <v>288</v>
      </c>
      <c r="B249" s="3">
        <v>46144</v>
      </c>
      <c r="C249" t="s">
        <v>24</v>
      </c>
      <c r="D249" t="s">
        <v>16</v>
      </c>
      <c r="E249" t="s">
        <v>45</v>
      </c>
      <c r="F249" t="str">
        <f>_xlfn.XLOOKUP(E249,Product_Lookup!$A$2:$A$14,Product_Lookup!$B$2:$B$14)</f>
        <v>Cushion Set</v>
      </c>
      <c r="G249" t="str">
        <f>_xlfn.XLOOKUP(Sales_Data!E249,Product_Lookup!$A$2:$A$14,Product_Lookup!$C$2:$C$14)</f>
        <v>Home Accessories</v>
      </c>
      <c r="H249">
        <f>_xlfn.XLOOKUP(E249,Product_Lookup!$A$2:$A$14,Product_Lookup!$D$2:$D$14)</f>
        <v>32</v>
      </c>
      <c r="I249">
        <v>2</v>
      </c>
      <c r="J249">
        <f t="shared" si="18"/>
        <v>64</v>
      </c>
      <c r="K249" s="4">
        <v>0.05</v>
      </c>
      <c r="L249" s="7">
        <f t="shared" si="19"/>
        <v>3.2</v>
      </c>
      <c r="M249" s="7">
        <f t="shared" si="20"/>
        <v>60.8</v>
      </c>
      <c r="N249" s="7">
        <f>_xlfn.XLOOKUP(E249,Product_Lookup!$A$2:$A$14,Product_Lookup!$E$2:$E$14)</f>
        <v>14</v>
      </c>
      <c r="O249" s="7">
        <f t="shared" si="21"/>
        <v>28</v>
      </c>
      <c r="P249" s="7">
        <f t="shared" si="22"/>
        <v>32.799999999999997</v>
      </c>
      <c r="Q249" s="10">
        <f t="shared" si="23"/>
        <v>0.53947368421052633</v>
      </c>
      <c r="R249" t="s">
        <v>36</v>
      </c>
      <c r="S249" t="s">
        <v>14</v>
      </c>
    </row>
    <row r="250" spans="1:19">
      <c r="A250" t="s">
        <v>289</v>
      </c>
      <c r="B250" s="3">
        <v>46153</v>
      </c>
      <c r="C250" t="s">
        <v>38</v>
      </c>
      <c r="D250" t="s">
        <v>20</v>
      </c>
      <c r="E250" t="s">
        <v>12</v>
      </c>
      <c r="F250" t="str">
        <f>_xlfn.XLOOKUP(E250,Product_Lookup!$A$2:$A$14,Product_Lookup!$B$2:$B$14)</f>
        <v>Desk</v>
      </c>
      <c r="G250" t="str">
        <f>_xlfn.XLOOKUP(Sales_Data!E250,Product_Lookup!$A$2:$A$14,Product_Lookup!$C$2:$C$14)</f>
        <v>Furniture</v>
      </c>
      <c r="H250">
        <f>_xlfn.XLOOKUP(E250,Product_Lookup!$A$2:$A$14,Product_Lookup!$D$2:$D$14)</f>
        <v>210</v>
      </c>
      <c r="I250">
        <v>7</v>
      </c>
      <c r="J250">
        <f t="shared" si="18"/>
        <v>1470</v>
      </c>
      <c r="K250" s="4">
        <v>0.1</v>
      </c>
      <c r="L250" s="7">
        <f t="shared" si="19"/>
        <v>147</v>
      </c>
      <c r="M250" s="7">
        <f t="shared" si="20"/>
        <v>1323</v>
      </c>
      <c r="N250" s="7">
        <f>_xlfn.XLOOKUP(E250,Product_Lookup!$A$2:$A$14,Product_Lookup!$E$2:$E$14)</f>
        <v>132</v>
      </c>
      <c r="O250" s="7">
        <f t="shared" si="21"/>
        <v>924</v>
      </c>
      <c r="P250" s="7">
        <f t="shared" si="22"/>
        <v>399</v>
      </c>
      <c r="Q250" s="10">
        <f t="shared" si="23"/>
        <v>0.30158730158730157</v>
      </c>
      <c r="R250" t="s">
        <v>13</v>
      </c>
      <c r="S250" t="s">
        <v>48</v>
      </c>
    </row>
    <row r="251" spans="1:19">
      <c r="A251" t="s">
        <v>290</v>
      </c>
      <c r="B251" s="3">
        <v>46052</v>
      </c>
      <c r="C251" t="s">
        <v>10</v>
      </c>
      <c r="D251" t="s">
        <v>16</v>
      </c>
      <c r="E251" t="s">
        <v>17</v>
      </c>
      <c r="F251" t="str">
        <f>_xlfn.XLOOKUP(E251,Product_Lookup!$A$2:$A$14,Product_Lookup!$B$2:$B$14)</f>
        <v>Storage Box</v>
      </c>
      <c r="G251" t="str">
        <f>_xlfn.XLOOKUP(Sales_Data!E251,Product_Lookup!$A$2:$A$14,Product_Lookup!$C$2:$C$14)</f>
        <v>Storage</v>
      </c>
      <c r="H251">
        <f>_xlfn.XLOOKUP(E251,Product_Lookup!$A$2:$A$14,Product_Lookup!$D$2:$D$14)</f>
        <v>26</v>
      </c>
      <c r="I251">
        <v>4</v>
      </c>
      <c r="J251">
        <f t="shared" si="18"/>
        <v>104</v>
      </c>
      <c r="K251" s="4">
        <v>0.15</v>
      </c>
      <c r="L251" s="7">
        <f t="shared" si="19"/>
        <v>15.6</v>
      </c>
      <c r="M251" s="7">
        <f t="shared" si="20"/>
        <v>88.4</v>
      </c>
      <c r="N251" s="7">
        <f>_xlfn.XLOOKUP(E251,Product_Lookup!$A$2:$A$14,Product_Lookup!$E$2:$E$14)</f>
        <v>11</v>
      </c>
      <c r="O251" s="7">
        <f t="shared" si="21"/>
        <v>44</v>
      </c>
      <c r="P251" s="7">
        <f t="shared" si="22"/>
        <v>44.400000000000006</v>
      </c>
      <c r="Q251" s="10">
        <f t="shared" si="23"/>
        <v>0.50226244343891402</v>
      </c>
      <c r="R251" t="s">
        <v>13</v>
      </c>
      <c r="S251" t="s">
        <v>14</v>
      </c>
    </row>
    <row r="252" spans="1:19">
      <c r="A252" t="s">
        <v>291</v>
      </c>
      <c r="B252" s="3">
        <v>46026</v>
      </c>
      <c r="C252" t="s">
        <v>44</v>
      </c>
      <c r="D252" t="s">
        <v>16</v>
      </c>
      <c r="E252" t="s">
        <v>98</v>
      </c>
      <c r="F252" t="str">
        <f>_xlfn.XLOOKUP(E252,Product_Lookup!$A$2:$A$14,Product_Lookup!$B$2:$B$14)</f>
        <v>Blender</v>
      </c>
      <c r="G252" t="str">
        <f>_xlfn.XLOOKUP(Sales_Data!E252,Product_Lookup!$A$2:$A$14,Product_Lookup!$C$2:$C$14)</f>
        <v>Kitchenware</v>
      </c>
      <c r="H252">
        <f>_xlfn.XLOOKUP(E252,Product_Lookup!$A$2:$A$14,Product_Lookup!$D$2:$D$14)</f>
        <v>75</v>
      </c>
      <c r="I252">
        <v>7</v>
      </c>
      <c r="J252">
        <f t="shared" si="18"/>
        <v>525</v>
      </c>
      <c r="K252" s="4">
        <v>0</v>
      </c>
      <c r="L252" s="7">
        <f t="shared" si="19"/>
        <v>0</v>
      </c>
      <c r="M252" s="7">
        <f t="shared" si="20"/>
        <v>525</v>
      </c>
      <c r="N252" s="7">
        <f>_xlfn.XLOOKUP(E252,Product_Lookup!$A$2:$A$14,Product_Lookup!$E$2:$E$14)</f>
        <v>43</v>
      </c>
      <c r="O252" s="7">
        <f t="shared" si="21"/>
        <v>301</v>
      </c>
      <c r="P252" s="7">
        <f t="shared" si="22"/>
        <v>224</v>
      </c>
      <c r="Q252" s="10">
        <f t="shared" si="23"/>
        <v>0.42666666666666669</v>
      </c>
      <c r="R252" t="s">
        <v>13</v>
      </c>
      <c r="S252" t="s">
        <v>18</v>
      </c>
    </row>
    <row r="253" spans="1:19">
      <c r="A253" t="s">
        <v>292</v>
      </c>
      <c r="B253" s="3">
        <v>46186</v>
      </c>
      <c r="C253" t="s">
        <v>29</v>
      </c>
      <c r="D253" t="s">
        <v>11</v>
      </c>
      <c r="E253" t="s">
        <v>45</v>
      </c>
      <c r="F253" t="str">
        <f>_xlfn.XLOOKUP(E253,Product_Lookup!$A$2:$A$14,Product_Lookup!$B$2:$B$14)</f>
        <v>Cushion Set</v>
      </c>
      <c r="G253" t="str">
        <f>_xlfn.XLOOKUP(Sales_Data!E253,Product_Lookup!$A$2:$A$14,Product_Lookup!$C$2:$C$14)</f>
        <v>Home Accessories</v>
      </c>
      <c r="H253">
        <f>_xlfn.XLOOKUP(E253,Product_Lookup!$A$2:$A$14,Product_Lookup!$D$2:$D$14)</f>
        <v>32</v>
      </c>
      <c r="I253">
        <v>7</v>
      </c>
      <c r="J253">
        <f t="shared" si="18"/>
        <v>224</v>
      </c>
      <c r="K253" s="4">
        <v>0.15</v>
      </c>
      <c r="L253" s="7">
        <f t="shared" si="19"/>
        <v>33.6</v>
      </c>
      <c r="M253" s="7">
        <f t="shared" si="20"/>
        <v>190.4</v>
      </c>
      <c r="N253" s="7">
        <f>_xlfn.XLOOKUP(E253,Product_Lookup!$A$2:$A$14,Product_Lookup!$E$2:$E$14)</f>
        <v>14</v>
      </c>
      <c r="O253" s="7">
        <f t="shared" si="21"/>
        <v>98</v>
      </c>
      <c r="P253" s="7">
        <f t="shared" si="22"/>
        <v>92.4</v>
      </c>
      <c r="Q253" s="10">
        <f t="shared" si="23"/>
        <v>0.48529411764705882</v>
      </c>
      <c r="R253" t="s">
        <v>13</v>
      </c>
      <c r="S253" t="s">
        <v>22</v>
      </c>
    </row>
    <row r="254" spans="1:19">
      <c r="A254" t="s">
        <v>293</v>
      </c>
      <c r="B254" s="3">
        <v>46110</v>
      </c>
      <c r="C254" t="s">
        <v>10</v>
      </c>
      <c r="D254" t="s">
        <v>20</v>
      </c>
      <c r="E254" t="s">
        <v>41</v>
      </c>
      <c r="F254" t="str">
        <f>_xlfn.XLOOKUP(E254,Product_Lookup!$A$2:$A$14,Product_Lookup!$B$2:$B$14)</f>
        <v>Floor Lamp</v>
      </c>
      <c r="G254" t="str">
        <f>_xlfn.XLOOKUP(Sales_Data!E254,Product_Lookup!$A$2:$A$14,Product_Lookup!$C$2:$C$14)</f>
        <v>Lighting</v>
      </c>
      <c r="H254">
        <f>_xlfn.XLOOKUP(E254,Product_Lookup!$A$2:$A$14,Product_Lookup!$D$2:$D$14)</f>
        <v>125</v>
      </c>
      <c r="I254">
        <v>6</v>
      </c>
      <c r="J254">
        <f t="shared" si="18"/>
        <v>750</v>
      </c>
      <c r="K254" s="4">
        <v>0.05</v>
      </c>
      <c r="L254" s="7">
        <f t="shared" si="19"/>
        <v>37.5</v>
      </c>
      <c r="M254" s="7">
        <f t="shared" si="20"/>
        <v>712.5</v>
      </c>
      <c r="N254" s="7">
        <f>_xlfn.XLOOKUP(E254,Product_Lookup!$A$2:$A$14,Product_Lookup!$E$2:$E$14)</f>
        <v>73</v>
      </c>
      <c r="O254" s="7">
        <f t="shared" si="21"/>
        <v>438</v>
      </c>
      <c r="P254" s="7">
        <f t="shared" si="22"/>
        <v>274.5</v>
      </c>
      <c r="Q254" s="10">
        <f t="shared" si="23"/>
        <v>0.38526315789473686</v>
      </c>
      <c r="R254" t="s">
        <v>13</v>
      </c>
      <c r="S254" t="s">
        <v>18</v>
      </c>
    </row>
    <row r="255" spans="1:19">
      <c r="A255" t="s">
        <v>294</v>
      </c>
      <c r="B255" s="3">
        <v>46120</v>
      </c>
      <c r="C255" t="s">
        <v>10</v>
      </c>
      <c r="D255" t="s">
        <v>16</v>
      </c>
      <c r="E255" t="s">
        <v>57</v>
      </c>
      <c r="F255" t="str">
        <f>_xlfn.XLOOKUP(E255,Product_Lookup!$A$2:$A$14,Product_Lookup!$B$2:$B$14)</f>
        <v>Shelving Unit</v>
      </c>
      <c r="G255" t="str">
        <f>_xlfn.XLOOKUP(Sales_Data!E255,Product_Lookup!$A$2:$A$14,Product_Lookup!$C$2:$C$14)</f>
        <v>Storage</v>
      </c>
      <c r="H255">
        <f>_xlfn.XLOOKUP(E255,Product_Lookup!$A$2:$A$14,Product_Lookup!$D$2:$D$14)</f>
        <v>115</v>
      </c>
      <c r="I255">
        <v>7</v>
      </c>
      <c r="J255">
        <f t="shared" si="18"/>
        <v>805</v>
      </c>
      <c r="K255" s="4">
        <v>0.15</v>
      </c>
      <c r="L255" s="7">
        <f t="shared" si="19"/>
        <v>120.75</v>
      </c>
      <c r="M255" s="7">
        <f t="shared" si="20"/>
        <v>684.25</v>
      </c>
      <c r="N255" s="7">
        <f>_xlfn.XLOOKUP(E255,Product_Lookup!$A$2:$A$14,Product_Lookup!$E$2:$E$14)</f>
        <v>67</v>
      </c>
      <c r="O255" s="7">
        <f t="shared" si="21"/>
        <v>469</v>
      </c>
      <c r="P255" s="7">
        <f t="shared" si="22"/>
        <v>215.25</v>
      </c>
      <c r="Q255" s="10">
        <f t="shared" si="23"/>
        <v>0.31457800511508949</v>
      </c>
      <c r="R255" t="s">
        <v>13</v>
      </c>
      <c r="S255" t="s">
        <v>14</v>
      </c>
    </row>
    <row r="256" spans="1:19">
      <c r="A256" t="s">
        <v>295</v>
      </c>
      <c r="B256" s="3">
        <v>46072</v>
      </c>
      <c r="C256" t="s">
        <v>29</v>
      </c>
      <c r="D256" t="s">
        <v>20</v>
      </c>
      <c r="E256" t="s">
        <v>98</v>
      </c>
      <c r="F256" t="str">
        <f>_xlfn.XLOOKUP(E256,Product_Lookup!$A$2:$A$14,Product_Lookup!$B$2:$B$14)</f>
        <v>Blender</v>
      </c>
      <c r="G256" t="str">
        <f>_xlfn.XLOOKUP(Sales_Data!E256,Product_Lookup!$A$2:$A$14,Product_Lookup!$C$2:$C$14)</f>
        <v>Kitchenware</v>
      </c>
      <c r="H256">
        <f>_xlfn.XLOOKUP(E256,Product_Lookup!$A$2:$A$14,Product_Lookup!$D$2:$D$14)</f>
        <v>75</v>
      </c>
      <c r="I256">
        <v>2</v>
      </c>
      <c r="J256">
        <f t="shared" si="18"/>
        <v>150</v>
      </c>
      <c r="K256" s="4">
        <v>0.05</v>
      </c>
      <c r="L256" s="7">
        <f t="shared" si="19"/>
        <v>7.5</v>
      </c>
      <c r="M256" s="7">
        <f t="shared" si="20"/>
        <v>142.5</v>
      </c>
      <c r="N256" s="7">
        <f>_xlfn.XLOOKUP(E256,Product_Lookup!$A$2:$A$14,Product_Lookup!$E$2:$E$14)</f>
        <v>43</v>
      </c>
      <c r="O256" s="7">
        <f t="shared" si="21"/>
        <v>86</v>
      </c>
      <c r="P256" s="7">
        <f t="shared" si="22"/>
        <v>56.5</v>
      </c>
      <c r="Q256" s="10">
        <f t="shared" si="23"/>
        <v>0.39649122807017545</v>
      </c>
      <c r="R256" t="s">
        <v>13</v>
      </c>
      <c r="S256" t="s">
        <v>48</v>
      </c>
    </row>
    <row r="257" spans="1:19">
      <c r="A257" t="s">
        <v>296</v>
      </c>
      <c r="B257" s="3">
        <v>46127</v>
      </c>
      <c r="C257" t="s">
        <v>44</v>
      </c>
      <c r="D257" t="s">
        <v>20</v>
      </c>
      <c r="E257" t="s">
        <v>67</v>
      </c>
      <c r="F257" t="str">
        <f>_xlfn.XLOOKUP(E257,Product_Lookup!$A$2:$A$14,Product_Lookup!$B$2:$B$14)</f>
        <v>Rug</v>
      </c>
      <c r="G257" t="str">
        <f>_xlfn.XLOOKUP(Sales_Data!E257,Product_Lookup!$A$2:$A$14,Product_Lookup!$C$2:$C$14)</f>
        <v>Home Accessories</v>
      </c>
      <c r="H257">
        <f>_xlfn.XLOOKUP(E257,Product_Lookup!$A$2:$A$14,Product_Lookup!$D$2:$D$14)</f>
        <v>145</v>
      </c>
      <c r="I257">
        <v>7</v>
      </c>
      <c r="J257">
        <f t="shared" si="18"/>
        <v>1015</v>
      </c>
      <c r="K257" s="4">
        <v>0.25</v>
      </c>
      <c r="L257" s="7">
        <f t="shared" si="19"/>
        <v>253.75</v>
      </c>
      <c r="M257" s="7">
        <f t="shared" si="20"/>
        <v>761.25</v>
      </c>
      <c r="N257" s="7">
        <f>_xlfn.XLOOKUP(E257,Product_Lookup!$A$2:$A$14,Product_Lookup!$E$2:$E$14)</f>
        <v>88</v>
      </c>
      <c r="O257" s="7">
        <f t="shared" si="21"/>
        <v>616</v>
      </c>
      <c r="P257" s="7">
        <f t="shared" si="22"/>
        <v>145.25</v>
      </c>
      <c r="Q257" s="10">
        <f t="shared" si="23"/>
        <v>0.19080459770114944</v>
      </c>
      <c r="R257" t="s">
        <v>13</v>
      </c>
      <c r="S257" t="s">
        <v>48</v>
      </c>
    </row>
    <row r="258" spans="1:19">
      <c r="A258" t="s">
        <v>297</v>
      </c>
      <c r="B258" s="3">
        <v>46155</v>
      </c>
      <c r="C258" t="s">
        <v>29</v>
      </c>
      <c r="D258" t="s">
        <v>20</v>
      </c>
      <c r="E258" t="s">
        <v>30</v>
      </c>
      <c r="F258" t="str">
        <f>_xlfn.XLOOKUP(E258,Product_Lookup!$A$2:$A$14,Product_Lookup!$B$2:$B$14)</f>
        <v>Dining Chair</v>
      </c>
      <c r="G258" t="str">
        <f>_xlfn.XLOOKUP(Sales_Data!E258,Product_Lookup!$A$2:$A$14,Product_Lookup!$C$2:$C$14)</f>
        <v>Furniture</v>
      </c>
      <c r="H258">
        <f>_xlfn.XLOOKUP(E258,Product_Lookup!$A$2:$A$14,Product_Lookup!$D$2:$D$14)</f>
        <v>95</v>
      </c>
      <c r="I258">
        <v>7</v>
      </c>
      <c r="J258">
        <f t="shared" si="18"/>
        <v>665</v>
      </c>
      <c r="K258" s="4">
        <v>0</v>
      </c>
      <c r="L258" s="7">
        <f t="shared" si="19"/>
        <v>0</v>
      </c>
      <c r="M258" s="7">
        <f t="shared" si="20"/>
        <v>665</v>
      </c>
      <c r="N258" s="7">
        <f>_xlfn.XLOOKUP(E258,Product_Lookup!$A$2:$A$14,Product_Lookup!$E$2:$E$14)</f>
        <v>54</v>
      </c>
      <c r="O258" s="7">
        <f t="shared" si="21"/>
        <v>378</v>
      </c>
      <c r="P258" s="7">
        <f t="shared" si="22"/>
        <v>287</v>
      </c>
      <c r="Q258" s="10">
        <f t="shared" si="23"/>
        <v>0.43157894736842106</v>
      </c>
      <c r="R258" t="s">
        <v>21</v>
      </c>
      <c r="S258" t="s">
        <v>39</v>
      </c>
    </row>
    <row r="259" spans="1:19">
      <c r="A259" t="s">
        <v>298</v>
      </c>
      <c r="B259" s="3">
        <v>46160</v>
      </c>
      <c r="C259" t="s">
        <v>38</v>
      </c>
      <c r="D259" t="s">
        <v>20</v>
      </c>
      <c r="E259" t="s">
        <v>41</v>
      </c>
      <c r="F259" t="str">
        <f>_xlfn.XLOOKUP(E259,Product_Lookup!$A$2:$A$14,Product_Lookup!$B$2:$B$14)</f>
        <v>Floor Lamp</v>
      </c>
      <c r="G259" t="str">
        <f>_xlfn.XLOOKUP(Sales_Data!E259,Product_Lookup!$A$2:$A$14,Product_Lookup!$C$2:$C$14)</f>
        <v>Lighting</v>
      </c>
      <c r="H259">
        <f>_xlfn.XLOOKUP(E259,Product_Lookup!$A$2:$A$14,Product_Lookup!$D$2:$D$14)</f>
        <v>125</v>
      </c>
      <c r="I259">
        <v>6</v>
      </c>
      <c r="J259">
        <f t="shared" ref="J259:J321" si="24">H259*I259</f>
        <v>750</v>
      </c>
      <c r="K259" s="4">
        <v>0.1</v>
      </c>
      <c r="L259" s="7">
        <f t="shared" ref="L259:L321" si="25">J259*K259</f>
        <v>75</v>
      </c>
      <c r="M259" s="7">
        <f t="shared" ref="M259:M321" si="26">J259-L259</f>
        <v>675</v>
      </c>
      <c r="N259" s="7">
        <f>_xlfn.XLOOKUP(E259,Product_Lookup!$A$2:$A$14,Product_Lookup!$E$2:$E$14)</f>
        <v>73</v>
      </c>
      <c r="O259" s="7">
        <f t="shared" ref="O259:O321" si="27">N259*I259</f>
        <v>438</v>
      </c>
      <c r="P259" s="7">
        <f t="shared" ref="P259:P321" si="28">M259-O259</f>
        <v>237</v>
      </c>
      <c r="Q259" s="10">
        <f t="shared" ref="Q259:Q321" si="29">P259/M259</f>
        <v>0.3511111111111111</v>
      </c>
      <c r="R259" t="s">
        <v>13</v>
      </c>
      <c r="S259" t="s">
        <v>42</v>
      </c>
    </row>
    <row r="260" spans="1:19">
      <c r="A260" t="s">
        <v>299</v>
      </c>
      <c r="B260" s="3">
        <v>46167</v>
      </c>
      <c r="C260" t="s">
        <v>38</v>
      </c>
      <c r="D260" t="s">
        <v>11</v>
      </c>
      <c r="E260" t="s">
        <v>98</v>
      </c>
      <c r="F260" t="str">
        <f>_xlfn.XLOOKUP(E260,Product_Lookup!$A$2:$A$14,Product_Lookup!$B$2:$B$14)</f>
        <v>Blender</v>
      </c>
      <c r="G260" t="str">
        <f>_xlfn.XLOOKUP(Sales_Data!E260,Product_Lookup!$A$2:$A$14,Product_Lookup!$C$2:$C$14)</f>
        <v>Kitchenware</v>
      </c>
      <c r="H260">
        <f>_xlfn.XLOOKUP(E260,Product_Lookup!$A$2:$A$14,Product_Lookup!$D$2:$D$14)</f>
        <v>75</v>
      </c>
      <c r="I260">
        <v>1</v>
      </c>
      <c r="J260">
        <f t="shared" si="24"/>
        <v>75</v>
      </c>
      <c r="K260" s="4">
        <v>0.05</v>
      </c>
      <c r="L260" s="7">
        <f t="shared" si="25"/>
        <v>3.75</v>
      </c>
      <c r="M260" s="7">
        <f t="shared" si="26"/>
        <v>71.25</v>
      </c>
      <c r="N260" s="7">
        <f>_xlfn.XLOOKUP(E260,Product_Lookup!$A$2:$A$14,Product_Lookup!$E$2:$E$14)</f>
        <v>43</v>
      </c>
      <c r="O260" s="7">
        <f t="shared" si="27"/>
        <v>43</v>
      </c>
      <c r="P260" s="7">
        <f t="shared" si="28"/>
        <v>28.25</v>
      </c>
      <c r="Q260" s="10">
        <f t="shared" si="29"/>
        <v>0.39649122807017545</v>
      </c>
      <c r="R260" t="s">
        <v>13</v>
      </c>
      <c r="S260" t="s">
        <v>14</v>
      </c>
    </row>
    <row r="261" spans="1:19">
      <c r="A261" t="s">
        <v>300</v>
      </c>
      <c r="B261" s="3">
        <v>46151</v>
      </c>
      <c r="C261" t="s">
        <v>10</v>
      </c>
      <c r="D261" t="s">
        <v>11</v>
      </c>
      <c r="E261" t="s">
        <v>67</v>
      </c>
      <c r="F261" t="str">
        <f>_xlfn.XLOOKUP(E261,Product_Lookup!$A$2:$A$14,Product_Lookup!$B$2:$B$14)</f>
        <v>Rug</v>
      </c>
      <c r="G261" t="str">
        <f>_xlfn.XLOOKUP(Sales_Data!E261,Product_Lookup!$A$2:$A$14,Product_Lookup!$C$2:$C$14)</f>
        <v>Home Accessories</v>
      </c>
      <c r="H261">
        <f>_xlfn.XLOOKUP(E261,Product_Lookup!$A$2:$A$14,Product_Lookup!$D$2:$D$14)</f>
        <v>145</v>
      </c>
      <c r="I261">
        <v>4</v>
      </c>
      <c r="J261">
        <f t="shared" si="24"/>
        <v>580</v>
      </c>
      <c r="K261" s="4">
        <v>0</v>
      </c>
      <c r="L261" s="7">
        <f t="shared" si="25"/>
        <v>0</v>
      </c>
      <c r="M261" s="7">
        <f t="shared" si="26"/>
        <v>580</v>
      </c>
      <c r="N261" s="7">
        <f>_xlfn.XLOOKUP(E261,Product_Lookup!$A$2:$A$14,Product_Lookup!$E$2:$E$14)</f>
        <v>88</v>
      </c>
      <c r="O261" s="7">
        <f t="shared" si="27"/>
        <v>352</v>
      </c>
      <c r="P261" s="7">
        <f t="shared" si="28"/>
        <v>228</v>
      </c>
      <c r="Q261" s="10">
        <f t="shared" si="29"/>
        <v>0.39310344827586208</v>
      </c>
      <c r="R261" t="s">
        <v>13</v>
      </c>
      <c r="S261" t="s">
        <v>18</v>
      </c>
    </row>
    <row r="262" spans="1:19">
      <c r="A262" t="s">
        <v>301</v>
      </c>
      <c r="B262" s="3">
        <v>46192</v>
      </c>
      <c r="C262" t="s">
        <v>38</v>
      </c>
      <c r="D262" t="s">
        <v>11</v>
      </c>
      <c r="E262" t="s">
        <v>57</v>
      </c>
      <c r="F262" t="str">
        <f>_xlfn.XLOOKUP(E262,Product_Lookup!$A$2:$A$14,Product_Lookup!$B$2:$B$14)</f>
        <v>Shelving Unit</v>
      </c>
      <c r="G262" t="str">
        <f>_xlfn.XLOOKUP(Sales_Data!E262,Product_Lookup!$A$2:$A$14,Product_Lookup!$C$2:$C$14)</f>
        <v>Storage</v>
      </c>
      <c r="H262">
        <f>_xlfn.XLOOKUP(E262,Product_Lookup!$A$2:$A$14,Product_Lookup!$D$2:$D$14)</f>
        <v>115</v>
      </c>
      <c r="I262">
        <v>6</v>
      </c>
      <c r="J262">
        <f t="shared" si="24"/>
        <v>690</v>
      </c>
      <c r="K262" s="4">
        <v>0.05</v>
      </c>
      <c r="L262" s="7">
        <f t="shared" si="25"/>
        <v>34.5</v>
      </c>
      <c r="M262" s="7">
        <f t="shared" si="26"/>
        <v>655.5</v>
      </c>
      <c r="N262" s="7">
        <f>_xlfn.XLOOKUP(E262,Product_Lookup!$A$2:$A$14,Product_Lookup!$E$2:$E$14)</f>
        <v>67</v>
      </c>
      <c r="O262" s="7">
        <f t="shared" si="27"/>
        <v>402</v>
      </c>
      <c r="P262" s="7">
        <f t="shared" si="28"/>
        <v>253.5</v>
      </c>
      <c r="Q262" s="10">
        <f t="shared" si="29"/>
        <v>0.38672768878718533</v>
      </c>
      <c r="R262" t="s">
        <v>13</v>
      </c>
      <c r="S262" t="s">
        <v>18</v>
      </c>
    </row>
    <row r="263" spans="1:19">
      <c r="A263" t="s">
        <v>302</v>
      </c>
      <c r="B263" s="3">
        <v>46121</v>
      </c>
      <c r="C263" t="s">
        <v>29</v>
      </c>
      <c r="D263" t="s">
        <v>16</v>
      </c>
      <c r="E263" t="s">
        <v>32</v>
      </c>
      <c r="F263" t="str">
        <f>_xlfn.XLOOKUP(E263,Product_Lookup!$A$2:$A$14,Product_Lookup!$B$2:$B$14)</f>
        <v>Sofa</v>
      </c>
      <c r="G263" t="str">
        <f>_xlfn.XLOOKUP(Sales_Data!E263,Product_Lookup!$A$2:$A$14,Product_Lookup!$C$2:$C$14)</f>
        <v>Furniture</v>
      </c>
      <c r="H263">
        <f>_xlfn.XLOOKUP(E263,Product_Lookup!$A$2:$A$14,Product_Lookup!$D$2:$D$14)</f>
        <v>420</v>
      </c>
      <c r="I263">
        <v>7</v>
      </c>
      <c r="J263">
        <f t="shared" si="24"/>
        <v>2940</v>
      </c>
      <c r="K263" s="4">
        <v>0.05</v>
      </c>
      <c r="L263" s="7">
        <f t="shared" si="25"/>
        <v>147</v>
      </c>
      <c r="M263" s="7">
        <f t="shared" si="26"/>
        <v>2793</v>
      </c>
      <c r="N263" s="7">
        <f>_xlfn.XLOOKUP(E263,Product_Lookup!$A$2:$A$14,Product_Lookup!$E$2:$E$14)</f>
        <v>280</v>
      </c>
      <c r="O263" s="7">
        <f t="shared" si="27"/>
        <v>1960</v>
      </c>
      <c r="P263" s="7">
        <f t="shared" si="28"/>
        <v>833</v>
      </c>
      <c r="Q263" s="10">
        <f t="shared" si="29"/>
        <v>0.2982456140350877</v>
      </c>
      <c r="R263" t="s">
        <v>13</v>
      </c>
      <c r="S263" t="s">
        <v>42</v>
      </c>
    </row>
    <row r="264" spans="1:19">
      <c r="A264" t="s">
        <v>303</v>
      </c>
      <c r="B264" s="3">
        <v>46190</v>
      </c>
      <c r="C264" t="s">
        <v>29</v>
      </c>
      <c r="D264" t="s">
        <v>16</v>
      </c>
      <c r="E264" t="s">
        <v>98</v>
      </c>
      <c r="F264" t="str">
        <f>_xlfn.XLOOKUP(E264,Product_Lookup!$A$2:$A$14,Product_Lookup!$B$2:$B$14)</f>
        <v>Blender</v>
      </c>
      <c r="G264" t="str">
        <f>_xlfn.XLOOKUP(Sales_Data!E264,Product_Lookup!$A$2:$A$14,Product_Lookup!$C$2:$C$14)</f>
        <v>Kitchenware</v>
      </c>
      <c r="H264">
        <f>_xlfn.XLOOKUP(E264,Product_Lookup!$A$2:$A$14,Product_Lookup!$D$2:$D$14)</f>
        <v>75</v>
      </c>
      <c r="I264">
        <v>4</v>
      </c>
      <c r="J264">
        <f t="shared" si="24"/>
        <v>300</v>
      </c>
      <c r="K264" s="4">
        <v>0.05</v>
      </c>
      <c r="L264" s="7">
        <f t="shared" si="25"/>
        <v>15</v>
      </c>
      <c r="M264" s="7">
        <f t="shared" si="26"/>
        <v>285</v>
      </c>
      <c r="N264" s="7">
        <f>_xlfn.XLOOKUP(E264,Product_Lookup!$A$2:$A$14,Product_Lookup!$E$2:$E$14)</f>
        <v>43</v>
      </c>
      <c r="O264" s="7">
        <f t="shared" si="27"/>
        <v>172</v>
      </c>
      <c r="P264" s="7">
        <f t="shared" si="28"/>
        <v>113</v>
      </c>
      <c r="Q264" s="10">
        <f t="shared" si="29"/>
        <v>0.39649122807017545</v>
      </c>
      <c r="R264" t="s">
        <v>13</v>
      </c>
      <c r="S264" t="s">
        <v>33</v>
      </c>
    </row>
    <row r="265" spans="1:19">
      <c r="A265" t="s">
        <v>304</v>
      </c>
      <c r="B265" s="3">
        <v>46046</v>
      </c>
      <c r="C265" t="s">
        <v>10</v>
      </c>
      <c r="D265" t="s">
        <v>16</v>
      </c>
      <c r="E265" t="s">
        <v>17</v>
      </c>
      <c r="F265" t="str">
        <f>_xlfn.XLOOKUP(E265,Product_Lookup!$A$2:$A$14,Product_Lookup!$B$2:$B$14)</f>
        <v>Storage Box</v>
      </c>
      <c r="G265" t="str">
        <f>_xlfn.XLOOKUP(Sales_Data!E265,Product_Lookup!$A$2:$A$14,Product_Lookup!$C$2:$C$14)</f>
        <v>Storage</v>
      </c>
      <c r="H265">
        <f>_xlfn.XLOOKUP(E265,Product_Lookup!$A$2:$A$14,Product_Lookup!$D$2:$D$14)</f>
        <v>26</v>
      </c>
      <c r="I265">
        <v>1</v>
      </c>
      <c r="J265">
        <f t="shared" si="24"/>
        <v>26</v>
      </c>
      <c r="K265" s="4">
        <v>0</v>
      </c>
      <c r="L265" s="7">
        <f t="shared" si="25"/>
        <v>0</v>
      </c>
      <c r="M265" s="7">
        <f t="shared" si="26"/>
        <v>26</v>
      </c>
      <c r="N265" s="7">
        <f>_xlfn.XLOOKUP(E265,Product_Lookup!$A$2:$A$14,Product_Lookup!$E$2:$E$14)</f>
        <v>11</v>
      </c>
      <c r="O265" s="7">
        <f t="shared" si="27"/>
        <v>11</v>
      </c>
      <c r="P265" s="7">
        <f t="shared" si="28"/>
        <v>15</v>
      </c>
      <c r="Q265" s="10">
        <f t="shared" si="29"/>
        <v>0.57692307692307687</v>
      </c>
      <c r="R265" t="s">
        <v>13</v>
      </c>
      <c r="S265" t="s">
        <v>22</v>
      </c>
    </row>
    <row r="266" spans="1:19">
      <c r="A266" t="s">
        <v>305</v>
      </c>
      <c r="B266" s="3">
        <v>46072</v>
      </c>
      <c r="C266" t="s">
        <v>29</v>
      </c>
      <c r="D266" t="s">
        <v>20</v>
      </c>
      <c r="E266" t="s">
        <v>57</v>
      </c>
      <c r="F266" t="str">
        <f>_xlfn.XLOOKUP(E266,Product_Lookup!$A$2:$A$14,Product_Lookup!$B$2:$B$14)</f>
        <v>Shelving Unit</v>
      </c>
      <c r="G266" t="str">
        <f>_xlfn.XLOOKUP(Sales_Data!E266,Product_Lookup!$A$2:$A$14,Product_Lookup!$C$2:$C$14)</f>
        <v>Storage</v>
      </c>
      <c r="H266">
        <f>_xlfn.XLOOKUP(E266,Product_Lookup!$A$2:$A$14,Product_Lookup!$D$2:$D$14)</f>
        <v>115</v>
      </c>
      <c r="I266">
        <v>4</v>
      </c>
      <c r="J266">
        <f t="shared" si="24"/>
        <v>460</v>
      </c>
      <c r="K266" s="4">
        <v>0.15</v>
      </c>
      <c r="L266" s="7">
        <f t="shared" si="25"/>
        <v>69</v>
      </c>
      <c r="M266" s="7">
        <f t="shared" si="26"/>
        <v>391</v>
      </c>
      <c r="N266" s="7">
        <f>_xlfn.XLOOKUP(E266,Product_Lookup!$A$2:$A$14,Product_Lookup!$E$2:$E$14)</f>
        <v>67</v>
      </c>
      <c r="O266" s="7">
        <f t="shared" si="27"/>
        <v>268</v>
      </c>
      <c r="P266" s="7">
        <f t="shared" si="28"/>
        <v>123</v>
      </c>
      <c r="Q266" s="10">
        <f t="shared" si="29"/>
        <v>0.31457800511508949</v>
      </c>
      <c r="R266" t="s">
        <v>13</v>
      </c>
      <c r="S266" t="s">
        <v>48</v>
      </c>
    </row>
    <row r="267" spans="1:19">
      <c r="A267" t="s">
        <v>306</v>
      </c>
      <c r="B267" s="3">
        <v>46162</v>
      </c>
      <c r="C267" t="s">
        <v>10</v>
      </c>
      <c r="D267" t="s">
        <v>11</v>
      </c>
      <c r="E267" t="s">
        <v>27</v>
      </c>
      <c r="F267" t="str">
        <f>_xlfn.XLOOKUP(E267,Product_Lookup!$A$2:$A$14,Product_Lookup!$B$2:$B$14)</f>
        <v>Kettle</v>
      </c>
      <c r="G267" t="str">
        <f>_xlfn.XLOOKUP(Sales_Data!E267,Product_Lookup!$A$2:$A$14,Product_Lookup!$C$2:$C$14)</f>
        <v>Kitchenware</v>
      </c>
      <c r="H267">
        <f>_xlfn.XLOOKUP(E267,Product_Lookup!$A$2:$A$14,Product_Lookup!$D$2:$D$14)</f>
        <v>38</v>
      </c>
      <c r="I267">
        <v>2</v>
      </c>
      <c r="J267">
        <f t="shared" si="24"/>
        <v>76</v>
      </c>
      <c r="K267" s="4">
        <v>0.1</v>
      </c>
      <c r="L267" s="7">
        <f t="shared" si="25"/>
        <v>7.6000000000000005</v>
      </c>
      <c r="M267" s="7">
        <f t="shared" si="26"/>
        <v>68.400000000000006</v>
      </c>
      <c r="N267" s="7">
        <f>_xlfn.XLOOKUP(E267,Product_Lookup!$A$2:$A$14,Product_Lookup!$E$2:$E$14)</f>
        <v>21</v>
      </c>
      <c r="O267" s="7">
        <f t="shared" si="27"/>
        <v>42</v>
      </c>
      <c r="P267" s="7">
        <f t="shared" si="28"/>
        <v>26.400000000000006</v>
      </c>
      <c r="Q267" s="10">
        <f t="shared" si="29"/>
        <v>0.38596491228070179</v>
      </c>
      <c r="R267" t="s">
        <v>13</v>
      </c>
      <c r="S267" t="s">
        <v>39</v>
      </c>
    </row>
    <row r="268" spans="1:19">
      <c r="A268" t="s">
        <v>307</v>
      </c>
      <c r="B268" s="3">
        <v>46146</v>
      </c>
      <c r="C268" t="s">
        <v>10</v>
      </c>
      <c r="D268" t="s">
        <v>16</v>
      </c>
      <c r="E268" t="s">
        <v>12</v>
      </c>
      <c r="F268" t="str">
        <f>_xlfn.XLOOKUP(E268,Product_Lookup!$A$2:$A$14,Product_Lookup!$B$2:$B$14)</f>
        <v>Desk</v>
      </c>
      <c r="G268" t="str">
        <f>_xlfn.XLOOKUP(Sales_Data!E268,Product_Lookup!$A$2:$A$14,Product_Lookup!$C$2:$C$14)</f>
        <v>Furniture</v>
      </c>
      <c r="H268">
        <f>_xlfn.XLOOKUP(E268,Product_Lookup!$A$2:$A$14,Product_Lookup!$D$2:$D$14)</f>
        <v>210</v>
      </c>
      <c r="I268">
        <v>5</v>
      </c>
      <c r="J268">
        <f t="shared" si="24"/>
        <v>1050</v>
      </c>
      <c r="K268" s="4">
        <v>0</v>
      </c>
      <c r="L268" s="7">
        <f t="shared" si="25"/>
        <v>0</v>
      </c>
      <c r="M268" s="7">
        <f t="shared" si="26"/>
        <v>1050</v>
      </c>
      <c r="N268" s="7">
        <f>_xlfn.XLOOKUP(E268,Product_Lookup!$A$2:$A$14,Product_Lookup!$E$2:$E$14)</f>
        <v>132</v>
      </c>
      <c r="O268" s="7">
        <f t="shared" si="27"/>
        <v>660</v>
      </c>
      <c r="P268" s="7">
        <f t="shared" si="28"/>
        <v>390</v>
      </c>
      <c r="Q268" s="10">
        <f t="shared" si="29"/>
        <v>0.37142857142857144</v>
      </c>
      <c r="R268" t="s">
        <v>13</v>
      </c>
      <c r="S268" t="s">
        <v>14</v>
      </c>
    </row>
    <row r="269" spans="1:19">
      <c r="A269" t="s">
        <v>308</v>
      </c>
      <c r="B269" s="3">
        <v>46199</v>
      </c>
      <c r="C269" t="s">
        <v>10</v>
      </c>
      <c r="D269" t="s">
        <v>11</v>
      </c>
      <c r="E269" t="s">
        <v>17</v>
      </c>
      <c r="F269" t="str">
        <f>_xlfn.XLOOKUP(E269,Product_Lookup!$A$2:$A$14,Product_Lookup!$B$2:$B$14)</f>
        <v>Storage Box</v>
      </c>
      <c r="G269" t="str">
        <f>_xlfn.XLOOKUP(Sales_Data!E269,Product_Lookup!$A$2:$A$14,Product_Lookup!$C$2:$C$14)</f>
        <v>Storage</v>
      </c>
      <c r="H269">
        <f>_xlfn.XLOOKUP(E269,Product_Lookup!$A$2:$A$14,Product_Lookup!$D$2:$D$14)</f>
        <v>26</v>
      </c>
      <c r="I269">
        <v>4</v>
      </c>
      <c r="J269">
        <f t="shared" si="24"/>
        <v>104</v>
      </c>
      <c r="K269" s="4">
        <v>0</v>
      </c>
      <c r="L269" s="7">
        <f t="shared" si="25"/>
        <v>0</v>
      </c>
      <c r="M269" s="7">
        <f t="shared" si="26"/>
        <v>104</v>
      </c>
      <c r="N269" s="7">
        <f>_xlfn.XLOOKUP(E269,Product_Lookup!$A$2:$A$14,Product_Lookup!$E$2:$E$14)</f>
        <v>11</v>
      </c>
      <c r="O269" s="7">
        <f t="shared" si="27"/>
        <v>44</v>
      </c>
      <c r="P269" s="7">
        <f t="shared" si="28"/>
        <v>60</v>
      </c>
      <c r="Q269" s="10">
        <f t="shared" si="29"/>
        <v>0.57692307692307687</v>
      </c>
      <c r="R269" t="s">
        <v>36</v>
      </c>
      <c r="S269" t="s">
        <v>42</v>
      </c>
    </row>
    <row r="270" spans="1:19">
      <c r="A270" t="s">
        <v>309</v>
      </c>
      <c r="B270" s="3">
        <v>46074</v>
      </c>
      <c r="C270" t="s">
        <v>29</v>
      </c>
      <c r="D270" t="s">
        <v>11</v>
      </c>
      <c r="E270" t="s">
        <v>27</v>
      </c>
      <c r="F270" t="str">
        <f>_xlfn.XLOOKUP(E270,Product_Lookup!$A$2:$A$14,Product_Lookup!$B$2:$B$14)</f>
        <v>Kettle</v>
      </c>
      <c r="G270" t="str">
        <f>_xlfn.XLOOKUP(Sales_Data!E270,Product_Lookup!$A$2:$A$14,Product_Lookup!$C$2:$C$14)</f>
        <v>Kitchenware</v>
      </c>
      <c r="H270">
        <f>_xlfn.XLOOKUP(E270,Product_Lookup!$A$2:$A$14,Product_Lookup!$D$2:$D$14)</f>
        <v>38</v>
      </c>
      <c r="I270">
        <v>7</v>
      </c>
      <c r="J270">
        <f t="shared" si="24"/>
        <v>266</v>
      </c>
      <c r="K270" s="4">
        <v>0.05</v>
      </c>
      <c r="L270" s="7">
        <f t="shared" si="25"/>
        <v>13.3</v>
      </c>
      <c r="M270" s="7">
        <f t="shared" si="26"/>
        <v>252.7</v>
      </c>
      <c r="N270" s="7">
        <f>_xlfn.XLOOKUP(E270,Product_Lookup!$A$2:$A$14,Product_Lookup!$E$2:$E$14)</f>
        <v>21</v>
      </c>
      <c r="O270" s="7">
        <f t="shared" si="27"/>
        <v>147</v>
      </c>
      <c r="P270" s="7">
        <f t="shared" si="28"/>
        <v>105.69999999999999</v>
      </c>
      <c r="Q270" s="10">
        <f t="shared" si="29"/>
        <v>0.41828254847645424</v>
      </c>
      <c r="R270" t="s">
        <v>13</v>
      </c>
      <c r="S270" t="s">
        <v>33</v>
      </c>
    </row>
    <row r="271" spans="1:19">
      <c r="A271" t="s">
        <v>310</v>
      </c>
      <c r="B271" s="3">
        <v>46202</v>
      </c>
      <c r="C271" t="s">
        <v>44</v>
      </c>
      <c r="D271" t="s">
        <v>11</v>
      </c>
      <c r="E271" t="s">
        <v>98</v>
      </c>
      <c r="F271" t="str">
        <f>_xlfn.XLOOKUP(E271,Product_Lookup!$A$2:$A$14,Product_Lookup!$B$2:$B$14)</f>
        <v>Blender</v>
      </c>
      <c r="G271" t="str">
        <f>_xlfn.XLOOKUP(Sales_Data!E271,Product_Lookup!$A$2:$A$14,Product_Lookup!$C$2:$C$14)</f>
        <v>Kitchenware</v>
      </c>
      <c r="H271">
        <f>_xlfn.XLOOKUP(E271,Product_Lookup!$A$2:$A$14,Product_Lookup!$D$2:$D$14)</f>
        <v>75</v>
      </c>
      <c r="I271">
        <v>7</v>
      </c>
      <c r="J271">
        <f t="shared" si="24"/>
        <v>525</v>
      </c>
      <c r="K271" s="4">
        <v>0</v>
      </c>
      <c r="L271" s="7">
        <f t="shared" si="25"/>
        <v>0</v>
      </c>
      <c r="M271" s="7">
        <f t="shared" si="26"/>
        <v>525</v>
      </c>
      <c r="N271" s="7">
        <f>_xlfn.XLOOKUP(E271,Product_Lookup!$A$2:$A$14,Product_Lookup!$E$2:$E$14)</f>
        <v>43</v>
      </c>
      <c r="O271" s="7">
        <f t="shared" si="27"/>
        <v>301</v>
      </c>
      <c r="P271" s="7">
        <f t="shared" si="28"/>
        <v>224</v>
      </c>
      <c r="Q271" s="10">
        <f t="shared" si="29"/>
        <v>0.42666666666666669</v>
      </c>
      <c r="R271" t="s">
        <v>13</v>
      </c>
      <c r="S271" t="s">
        <v>48</v>
      </c>
    </row>
    <row r="272" spans="1:19">
      <c r="A272" t="s">
        <v>311</v>
      </c>
      <c r="B272" s="3">
        <v>46146</v>
      </c>
      <c r="C272" t="s">
        <v>24</v>
      </c>
      <c r="D272" t="s">
        <v>16</v>
      </c>
      <c r="E272" t="s">
        <v>27</v>
      </c>
      <c r="F272" t="str">
        <f>_xlfn.XLOOKUP(E272,Product_Lookup!$A$2:$A$14,Product_Lookup!$B$2:$B$14)</f>
        <v>Kettle</v>
      </c>
      <c r="G272" t="str">
        <f>_xlfn.XLOOKUP(Sales_Data!E272,Product_Lookup!$A$2:$A$14,Product_Lookup!$C$2:$C$14)</f>
        <v>Kitchenware</v>
      </c>
      <c r="H272">
        <f>_xlfn.XLOOKUP(E272,Product_Lookup!$A$2:$A$14,Product_Lookup!$D$2:$D$14)</f>
        <v>38</v>
      </c>
      <c r="I272">
        <v>5</v>
      </c>
      <c r="J272">
        <f t="shared" si="24"/>
        <v>190</v>
      </c>
      <c r="K272" s="4">
        <v>0.2</v>
      </c>
      <c r="L272" s="7">
        <f t="shared" si="25"/>
        <v>38</v>
      </c>
      <c r="M272" s="7">
        <f t="shared" si="26"/>
        <v>152</v>
      </c>
      <c r="N272" s="7">
        <f>_xlfn.XLOOKUP(E272,Product_Lookup!$A$2:$A$14,Product_Lookup!$E$2:$E$14)</f>
        <v>21</v>
      </c>
      <c r="O272" s="7">
        <f t="shared" si="27"/>
        <v>105</v>
      </c>
      <c r="P272" s="7">
        <f t="shared" si="28"/>
        <v>47</v>
      </c>
      <c r="Q272" s="10">
        <f t="shared" si="29"/>
        <v>0.30921052631578949</v>
      </c>
      <c r="R272" t="s">
        <v>13</v>
      </c>
      <c r="S272" t="s">
        <v>22</v>
      </c>
    </row>
    <row r="273" spans="1:19">
      <c r="A273" t="s">
        <v>312</v>
      </c>
      <c r="B273" s="3">
        <v>46163</v>
      </c>
      <c r="C273" t="s">
        <v>29</v>
      </c>
      <c r="D273" t="s">
        <v>20</v>
      </c>
      <c r="E273" t="s">
        <v>30</v>
      </c>
      <c r="F273" t="str">
        <f>_xlfn.XLOOKUP(E273,Product_Lookup!$A$2:$A$14,Product_Lookup!$B$2:$B$14)</f>
        <v>Dining Chair</v>
      </c>
      <c r="G273" t="str">
        <f>_xlfn.XLOOKUP(Sales_Data!E273,Product_Lookup!$A$2:$A$14,Product_Lookup!$C$2:$C$14)</f>
        <v>Furniture</v>
      </c>
      <c r="H273">
        <f>_xlfn.XLOOKUP(E273,Product_Lookup!$A$2:$A$14,Product_Lookup!$D$2:$D$14)</f>
        <v>95</v>
      </c>
      <c r="I273">
        <v>1</v>
      </c>
      <c r="J273">
        <f t="shared" si="24"/>
        <v>95</v>
      </c>
      <c r="K273" s="4">
        <v>0.1</v>
      </c>
      <c r="L273" s="7">
        <f t="shared" si="25"/>
        <v>9.5</v>
      </c>
      <c r="M273" s="7">
        <f t="shared" si="26"/>
        <v>85.5</v>
      </c>
      <c r="N273" s="7">
        <f>_xlfn.XLOOKUP(E273,Product_Lookup!$A$2:$A$14,Product_Lookup!$E$2:$E$14)</f>
        <v>54</v>
      </c>
      <c r="O273" s="7">
        <f t="shared" si="27"/>
        <v>54</v>
      </c>
      <c r="P273" s="7">
        <f t="shared" si="28"/>
        <v>31.5</v>
      </c>
      <c r="Q273" s="10">
        <f t="shared" si="29"/>
        <v>0.36842105263157893</v>
      </c>
      <c r="R273" t="s">
        <v>13</v>
      </c>
      <c r="S273" t="s">
        <v>22</v>
      </c>
    </row>
    <row r="274" spans="1:19">
      <c r="A274" t="s">
        <v>313</v>
      </c>
      <c r="B274" s="3">
        <v>46167</v>
      </c>
      <c r="C274" t="s">
        <v>10</v>
      </c>
      <c r="D274" t="s">
        <v>11</v>
      </c>
      <c r="E274" t="s">
        <v>17</v>
      </c>
      <c r="F274" t="str">
        <f>_xlfn.XLOOKUP(E274,Product_Lookup!$A$2:$A$14,Product_Lookup!$B$2:$B$14)</f>
        <v>Storage Box</v>
      </c>
      <c r="G274" t="str">
        <f>_xlfn.XLOOKUP(Sales_Data!E274,Product_Lookup!$A$2:$A$14,Product_Lookup!$C$2:$C$14)</f>
        <v>Storage</v>
      </c>
      <c r="H274">
        <f>_xlfn.XLOOKUP(E274,Product_Lookup!$A$2:$A$14,Product_Lookup!$D$2:$D$14)</f>
        <v>26</v>
      </c>
      <c r="I274">
        <v>1</v>
      </c>
      <c r="J274">
        <f t="shared" si="24"/>
        <v>26</v>
      </c>
      <c r="K274" s="4">
        <v>0.1</v>
      </c>
      <c r="L274" s="7">
        <f t="shared" si="25"/>
        <v>2.6</v>
      </c>
      <c r="M274" s="7">
        <f t="shared" si="26"/>
        <v>23.4</v>
      </c>
      <c r="N274" s="7">
        <f>_xlfn.XLOOKUP(E274,Product_Lookup!$A$2:$A$14,Product_Lookup!$E$2:$E$14)</f>
        <v>11</v>
      </c>
      <c r="O274" s="7">
        <f t="shared" si="27"/>
        <v>11</v>
      </c>
      <c r="P274" s="7">
        <f t="shared" si="28"/>
        <v>12.399999999999999</v>
      </c>
      <c r="Q274" s="10">
        <f t="shared" si="29"/>
        <v>0.52991452991452992</v>
      </c>
      <c r="R274" t="s">
        <v>36</v>
      </c>
      <c r="S274" t="s">
        <v>33</v>
      </c>
    </row>
    <row r="275" spans="1:19">
      <c r="A275" t="s">
        <v>314</v>
      </c>
      <c r="B275" s="3">
        <v>46023</v>
      </c>
      <c r="C275" t="s">
        <v>24</v>
      </c>
      <c r="D275" t="s">
        <v>11</v>
      </c>
      <c r="E275" t="s">
        <v>30</v>
      </c>
      <c r="F275" t="str">
        <f>_xlfn.XLOOKUP(E275,Product_Lookup!$A$2:$A$14,Product_Lookup!$B$2:$B$14)</f>
        <v>Dining Chair</v>
      </c>
      <c r="G275" t="str">
        <f>_xlfn.XLOOKUP(Sales_Data!E275,Product_Lookup!$A$2:$A$14,Product_Lookup!$C$2:$C$14)</f>
        <v>Furniture</v>
      </c>
      <c r="H275">
        <f>_xlfn.XLOOKUP(E275,Product_Lookup!$A$2:$A$14,Product_Lookup!$D$2:$D$14)</f>
        <v>95</v>
      </c>
      <c r="I275">
        <v>7</v>
      </c>
      <c r="J275">
        <f t="shared" si="24"/>
        <v>665</v>
      </c>
      <c r="K275" s="4">
        <v>0.25</v>
      </c>
      <c r="L275" s="7">
        <f t="shared" si="25"/>
        <v>166.25</v>
      </c>
      <c r="M275" s="7">
        <f t="shared" si="26"/>
        <v>498.75</v>
      </c>
      <c r="N275" s="7">
        <f>_xlfn.XLOOKUP(E275,Product_Lookup!$A$2:$A$14,Product_Lookup!$E$2:$E$14)</f>
        <v>54</v>
      </c>
      <c r="O275" s="7">
        <f t="shared" si="27"/>
        <v>378</v>
      </c>
      <c r="P275" s="7">
        <f t="shared" si="28"/>
        <v>120.75</v>
      </c>
      <c r="Q275" s="10">
        <f t="shared" si="29"/>
        <v>0.24210526315789474</v>
      </c>
      <c r="R275" t="s">
        <v>13</v>
      </c>
      <c r="S275" t="s">
        <v>42</v>
      </c>
    </row>
    <row r="276" spans="1:19">
      <c r="A276" t="s">
        <v>315</v>
      </c>
      <c r="B276" s="3">
        <v>46027</v>
      </c>
      <c r="C276" t="s">
        <v>10</v>
      </c>
      <c r="D276" t="s">
        <v>11</v>
      </c>
      <c r="E276" t="s">
        <v>12</v>
      </c>
      <c r="F276" t="str">
        <f>_xlfn.XLOOKUP(E276,Product_Lookup!$A$2:$A$14,Product_Lookup!$B$2:$B$14)</f>
        <v>Desk</v>
      </c>
      <c r="G276" t="str">
        <f>_xlfn.XLOOKUP(Sales_Data!E276,Product_Lookup!$A$2:$A$14,Product_Lookup!$C$2:$C$14)</f>
        <v>Furniture</v>
      </c>
      <c r="H276">
        <f>_xlfn.XLOOKUP(E276,Product_Lookup!$A$2:$A$14,Product_Lookup!$D$2:$D$14)</f>
        <v>210</v>
      </c>
      <c r="I276">
        <v>6</v>
      </c>
      <c r="J276">
        <f t="shared" si="24"/>
        <v>1260</v>
      </c>
      <c r="K276" s="4">
        <v>0.1</v>
      </c>
      <c r="L276" s="7">
        <f t="shared" si="25"/>
        <v>126</v>
      </c>
      <c r="M276" s="7">
        <f t="shared" si="26"/>
        <v>1134</v>
      </c>
      <c r="N276" s="7">
        <f>_xlfn.XLOOKUP(E276,Product_Lookup!$A$2:$A$14,Product_Lookup!$E$2:$E$14)</f>
        <v>132</v>
      </c>
      <c r="O276" s="7">
        <f t="shared" si="27"/>
        <v>792</v>
      </c>
      <c r="P276" s="7">
        <f t="shared" si="28"/>
        <v>342</v>
      </c>
      <c r="Q276" s="10">
        <f t="shared" si="29"/>
        <v>0.30158730158730157</v>
      </c>
      <c r="R276" t="s">
        <v>13</v>
      </c>
      <c r="S276" t="s">
        <v>18</v>
      </c>
    </row>
    <row r="277" spans="1:19">
      <c r="A277" t="s">
        <v>316</v>
      </c>
      <c r="B277" s="3">
        <v>46089</v>
      </c>
      <c r="C277" t="s">
        <v>10</v>
      </c>
      <c r="D277" t="s">
        <v>11</v>
      </c>
      <c r="E277" t="s">
        <v>67</v>
      </c>
      <c r="F277" t="str">
        <f>_xlfn.XLOOKUP(E277,Product_Lookup!$A$2:$A$14,Product_Lookup!$B$2:$B$14)</f>
        <v>Rug</v>
      </c>
      <c r="G277" t="str">
        <f>_xlfn.XLOOKUP(Sales_Data!E277,Product_Lookup!$A$2:$A$14,Product_Lookup!$C$2:$C$14)</f>
        <v>Home Accessories</v>
      </c>
      <c r="H277">
        <f>_xlfn.XLOOKUP(E277,Product_Lookup!$A$2:$A$14,Product_Lookup!$D$2:$D$14)</f>
        <v>145</v>
      </c>
      <c r="I277">
        <v>5</v>
      </c>
      <c r="J277">
        <f t="shared" si="24"/>
        <v>725</v>
      </c>
      <c r="K277" s="4">
        <v>0.05</v>
      </c>
      <c r="L277" s="7">
        <f t="shared" si="25"/>
        <v>36.25</v>
      </c>
      <c r="M277" s="7">
        <f t="shared" si="26"/>
        <v>688.75</v>
      </c>
      <c r="N277" s="7">
        <f>_xlfn.XLOOKUP(E277,Product_Lookup!$A$2:$A$14,Product_Lookup!$E$2:$E$14)</f>
        <v>88</v>
      </c>
      <c r="O277" s="7">
        <f t="shared" si="27"/>
        <v>440</v>
      </c>
      <c r="P277" s="7">
        <f t="shared" si="28"/>
        <v>248.75</v>
      </c>
      <c r="Q277" s="10">
        <f t="shared" si="29"/>
        <v>0.36116152450090744</v>
      </c>
      <c r="R277" t="s">
        <v>13</v>
      </c>
      <c r="S277" t="s">
        <v>18</v>
      </c>
    </row>
    <row r="278" spans="1:19">
      <c r="A278" t="s">
        <v>317</v>
      </c>
      <c r="B278" s="3">
        <v>46105</v>
      </c>
      <c r="C278" t="s">
        <v>24</v>
      </c>
      <c r="D278" t="s">
        <v>16</v>
      </c>
      <c r="E278" t="s">
        <v>25</v>
      </c>
      <c r="F278" t="str">
        <f>_xlfn.XLOOKUP(E278,Product_Lookup!$A$2:$A$14,Product_Lookup!$B$2:$B$14)</f>
        <v>Table Lamp</v>
      </c>
      <c r="G278" t="str">
        <f>_xlfn.XLOOKUP(Sales_Data!E278,Product_Lookup!$A$2:$A$14,Product_Lookup!$C$2:$C$14)</f>
        <v>Lighting</v>
      </c>
      <c r="H278">
        <f>_xlfn.XLOOKUP(E278,Product_Lookup!$A$2:$A$14,Product_Lookup!$D$2:$D$14)</f>
        <v>62</v>
      </c>
      <c r="I278">
        <v>4</v>
      </c>
      <c r="J278">
        <f t="shared" si="24"/>
        <v>248</v>
      </c>
      <c r="K278" s="4">
        <v>0.1</v>
      </c>
      <c r="L278" s="7">
        <f t="shared" si="25"/>
        <v>24.8</v>
      </c>
      <c r="M278" s="7">
        <f t="shared" si="26"/>
        <v>223.2</v>
      </c>
      <c r="N278" s="7">
        <f>_xlfn.XLOOKUP(E278,Product_Lookup!$A$2:$A$14,Product_Lookup!$E$2:$E$14)</f>
        <v>31</v>
      </c>
      <c r="O278" s="7">
        <f t="shared" si="27"/>
        <v>124</v>
      </c>
      <c r="P278" s="7">
        <f t="shared" si="28"/>
        <v>99.199999999999989</v>
      </c>
      <c r="Q278" s="10">
        <f t="shared" si="29"/>
        <v>0.44444444444444442</v>
      </c>
      <c r="R278" t="s">
        <v>13</v>
      </c>
      <c r="S278" t="s">
        <v>48</v>
      </c>
    </row>
    <row r="279" spans="1:19">
      <c r="A279" t="s">
        <v>318</v>
      </c>
      <c r="B279" s="3">
        <v>46143</v>
      </c>
      <c r="C279" t="s">
        <v>29</v>
      </c>
      <c r="D279" t="s">
        <v>20</v>
      </c>
      <c r="E279" t="s">
        <v>25</v>
      </c>
      <c r="F279" t="str">
        <f>_xlfn.XLOOKUP(E279,Product_Lookup!$A$2:$A$14,Product_Lookup!$B$2:$B$14)</f>
        <v>Table Lamp</v>
      </c>
      <c r="G279" t="str">
        <f>_xlfn.XLOOKUP(Sales_Data!E279,Product_Lookup!$A$2:$A$14,Product_Lookup!$C$2:$C$14)</f>
        <v>Lighting</v>
      </c>
      <c r="H279">
        <f>_xlfn.XLOOKUP(E279,Product_Lookup!$A$2:$A$14,Product_Lookup!$D$2:$D$14)</f>
        <v>62</v>
      </c>
      <c r="I279">
        <v>1</v>
      </c>
      <c r="J279">
        <f t="shared" si="24"/>
        <v>62</v>
      </c>
      <c r="K279" s="4">
        <v>0.1</v>
      </c>
      <c r="L279" s="7">
        <f t="shared" si="25"/>
        <v>6.2</v>
      </c>
      <c r="M279" s="7">
        <f t="shared" si="26"/>
        <v>55.8</v>
      </c>
      <c r="N279" s="7">
        <f>_xlfn.XLOOKUP(E279,Product_Lookup!$A$2:$A$14,Product_Lookup!$E$2:$E$14)</f>
        <v>31</v>
      </c>
      <c r="O279" s="7">
        <f t="shared" si="27"/>
        <v>31</v>
      </c>
      <c r="P279" s="7">
        <f t="shared" si="28"/>
        <v>24.799999999999997</v>
      </c>
      <c r="Q279" s="10">
        <f t="shared" si="29"/>
        <v>0.44444444444444442</v>
      </c>
      <c r="R279" t="s">
        <v>13</v>
      </c>
      <c r="S279" t="s">
        <v>39</v>
      </c>
    </row>
    <row r="280" spans="1:19">
      <c r="A280" t="s">
        <v>319</v>
      </c>
      <c r="B280" s="3">
        <v>46030</v>
      </c>
      <c r="C280" t="s">
        <v>44</v>
      </c>
      <c r="D280" t="s">
        <v>20</v>
      </c>
      <c r="E280" t="s">
        <v>17</v>
      </c>
      <c r="F280" t="str">
        <f>_xlfn.XLOOKUP(E280,Product_Lookup!$A$2:$A$14,Product_Lookup!$B$2:$B$14)</f>
        <v>Storage Box</v>
      </c>
      <c r="G280" t="str">
        <f>_xlfn.XLOOKUP(Sales_Data!E280,Product_Lookup!$A$2:$A$14,Product_Lookup!$C$2:$C$14)</f>
        <v>Storage</v>
      </c>
      <c r="H280">
        <f>_xlfn.XLOOKUP(E280,Product_Lookup!$A$2:$A$14,Product_Lookup!$D$2:$D$14)</f>
        <v>26</v>
      </c>
      <c r="I280">
        <v>2</v>
      </c>
      <c r="J280">
        <f t="shared" si="24"/>
        <v>52</v>
      </c>
      <c r="K280" s="4">
        <v>0.1</v>
      </c>
      <c r="L280" s="7">
        <f t="shared" si="25"/>
        <v>5.2</v>
      </c>
      <c r="M280" s="7">
        <f t="shared" si="26"/>
        <v>46.8</v>
      </c>
      <c r="N280" s="7">
        <f>_xlfn.XLOOKUP(E280,Product_Lookup!$A$2:$A$14,Product_Lookup!$E$2:$E$14)</f>
        <v>11</v>
      </c>
      <c r="O280" s="7">
        <f t="shared" si="27"/>
        <v>22</v>
      </c>
      <c r="P280" s="7">
        <f t="shared" si="28"/>
        <v>24.799999999999997</v>
      </c>
      <c r="Q280" s="10">
        <f t="shared" si="29"/>
        <v>0.52991452991452992</v>
      </c>
      <c r="R280" t="s">
        <v>13</v>
      </c>
      <c r="S280" t="s">
        <v>18</v>
      </c>
    </row>
    <row r="281" spans="1:19">
      <c r="A281" t="s">
        <v>320</v>
      </c>
      <c r="B281" s="3">
        <v>46182</v>
      </c>
      <c r="C281" t="s">
        <v>10</v>
      </c>
      <c r="D281" t="s">
        <v>11</v>
      </c>
      <c r="E281" t="s">
        <v>12</v>
      </c>
      <c r="F281" t="str">
        <f>_xlfn.XLOOKUP(E281,Product_Lookup!$A$2:$A$14,Product_Lookup!$B$2:$B$14)</f>
        <v>Desk</v>
      </c>
      <c r="G281" t="str">
        <f>_xlfn.XLOOKUP(Sales_Data!E281,Product_Lookup!$A$2:$A$14,Product_Lookup!$C$2:$C$14)</f>
        <v>Furniture</v>
      </c>
      <c r="H281">
        <f>_xlfn.XLOOKUP(E281,Product_Lookup!$A$2:$A$14,Product_Lookup!$D$2:$D$14)</f>
        <v>210</v>
      </c>
      <c r="I281">
        <v>4</v>
      </c>
      <c r="J281">
        <f t="shared" si="24"/>
        <v>840</v>
      </c>
      <c r="K281" s="4">
        <v>0</v>
      </c>
      <c r="L281" s="7">
        <f t="shared" si="25"/>
        <v>0</v>
      </c>
      <c r="M281" s="7">
        <f t="shared" si="26"/>
        <v>840</v>
      </c>
      <c r="N281" s="7">
        <f>_xlfn.XLOOKUP(E281,Product_Lookup!$A$2:$A$14,Product_Lookup!$E$2:$E$14)</f>
        <v>132</v>
      </c>
      <c r="O281" s="7">
        <f t="shared" si="27"/>
        <v>528</v>
      </c>
      <c r="P281" s="7">
        <f t="shared" si="28"/>
        <v>312</v>
      </c>
      <c r="Q281" s="10">
        <f t="shared" si="29"/>
        <v>0.37142857142857144</v>
      </c>
      <c r="R281" t="s">
        <v>13</v>
      </c>
      <c r="S281" t="s">
        <v>14</v>
      </c>
    </row>
    <row r="282" spans="1:19">
      <c r="A282" t="s">
        <v>321</v>
      </c>
      <c r="B282" s="3">
        <v>46157</v>
      </c>
      <c r="C282" t="s">
        <v>24</v>
      </c>
      <c r="D282" t="s">
        <v>16</v>
      </c>
      <c r="E282" t="s">
        <v>76</v>
      </c>
      <c r="F282" t="str">
        <f>_xlfn.XLOOKUP(E282,Product_Lookup!$A$2:$A$14,Product_Lookup!$B$2:$B$14)</f>
        <v>Cookware Set</v>
      </c>
      <c r="G282" t="str">
        <f>_xlfn.XLOOKUP(Sales_Data!E282,Product_Lookup!$A$2:$A$14,Product_Lookup!$C$2:$C$14)</f>
        <v>Kitchenware</v>
      </c>
      <c r="H282">
        <f>_xlfn.XLOOKUP(E282,Product_Lookup!$A$2:$A$14,Product_Lookup!$D$2:$D$14)</f>
        <v>110</v>
      </c>
      <c r="I282">
        <v>1</v>
      </c>
      <c r="J282">
        <f t="shared" si="24"/>
        <v>110</v>
      </c>
      <c r="K282" s="4">
        <v>0.15</v>
      </c>
      <c r="L282" s="7">
        <f t="shared" si="25"/>
        <v>16.5</v>
      </c>
      <c r="M282" s="7">
        <f t="shared" si="26"/>
        <v>93.5</v>
      </c>
      <c r="N282" s="7">
        <f>_xlfn.XLOOKUP(E282,Product_Lookup!$A$2:$A$14,Product_Lookup!$E$2:$E$14)</f>
        <v>65</v>
      </c>
      <c r="O282" s="7">
        <f t="shared" si="27"/>
        <v>65</v>
      </c>
      <c r="P282" s="7">
        <f t="shared" si="28"/>
        <v>28.5</v>
      </c>
      <c r="Q282" s="10">
        <f t="shared" si="29"/>
        <v>0.30481283422459893</v>
      </c>
      <c r="R282" t="s">
        <v>36</v>
      </c>
      <c r="S282" t="s">
        <v>18</v>
      </c>
    </row>
    <row r="283" spans="1:19">
      <c r="A283" t="s">
        <v>322</v>
      </c>
      <c r="B283" s="3">
        <v>46159</v>
      </c>
      <c r="C283" t="s">
        <v>24</v>
      </c>
      <c r="D283" t="s">
        <v>16</v>
      </c>
      <c r="E283" t="s">
        <v>54</v>
      </c>
      <c r="F283" t="str">
        <f>_xlfn.XLOOKUP(E283,Product_Lookup!$A$2:$A$14,Product_Lookup!$B$2:$B$14)</f>
        <v>Wall Mirror</v>
      </c>
      <c r="G283" t="str">
        <f>_xlfn.XLOOKUP(Sales_Data!E283,Product_Lookup!$A$2:$A$14,Product_Lookup!$C$2:$C$14)</f>
        <v>Home Accessories</v>
      </c>
      <c r="H283">
        <f>_xlfn.XLOOKUP(E283,Product_Lookup!$A$2:$A$14,Product_Lookup!$D$2:$D$14)</f>
        <v>85</v>
      </c>
      <c r="I283">
        <v>2</v>
      </c>
      <c r="J283">
        <f t="shared" si="24"/>
        <v>170</v>
      </c>
      <c r="K283" s="4">
        <v>0.05</v>
      </c>
      <c r="L283" s="7">
        <f t="shared" si="25"/>
        <v>8.5</v>
      </c>
      <c r="M283" s="7">
        <f t="shared" si="26"/>
        <v>161.5</v>
      </c>
      <c r="N283" s="7">
        <f>_xlfn.XLOOKUP(E283,Product_Lookup!$A$2:$A$14,Product_Lookup!$E$2:$E$14)</f>
        <v>41</v>
      </c>
      <c r="O283" s="7">
        <f t="shared" si="27"/>
        <v>82</v>
      </c>
      <c r="P283" s="7">
        <f t="shared" si="28"/>
        <v>79.5</v>
      </c>
      <c r="Q283" s="10">
        <f t="shared" si="29"/>
        <v>0.49226006191950467</v>
      </c>
      <c r="R283" t="s">
        <v>13</v>
      </c>
      <c r="S283" t="s">
        <v>22</v>
      </c>
    </row>
    <row r="284" spans="1:19">
      <c r="A284" t="s">
        <v>323</v>
      </c>
      <c r="B284" s="3">
        <v>46129</v>
      </c>
      <c r="C284" t="s">
        <v>38</v>
      </c>
      <c r="D284" t="s">
        <v>11</v>
      </c>
      <c r="E284" t="s">
        <v>25</v>
      </c>
      <c r="F284" t="str">
        <f>_xlfn.XLOOKUP(E284,Product_Lookup!$A$2:$A$14,Product_Lookup!$B$2:$B$14)</f>
        <v>Table Lamp</v>
      </c>
      <c r="G284" t="str">
        <f>_xlfn.XLOOKUP(Sales_Data!E284,Product_Lookup!$A$2:$A$14,Product_Lookup!$C$2:$C$14)</f>
        <v>Lighting</v>
      </c>
      <c r="H284">
        <f>_xlfn.XLOOKUP(E284,Product_Lookup!$A$2:$A$14,Product_Lookup!$D$2:$D$14)</f>
        <v>62</v>
      </c>
      <c r="I284">
        <v>2</v>
      </c>
      <c r="J284">
        <f t="shared" si="24"/>
        <v>124</v>
      </c>
      <c r="K284" s="4">
        <v>0</v>
      </c>
      <c r="L284" s="7">
        <f t="shared" si="25"/>
        <v>0</v>
      </c>
      <c r="M284" s="7">
        <f t="shared" si="26"/>
        <v>124</v>
      </c>
      <c r="N284" s="7">
        <f>_xlfn.XLOOKUP(E284,Product_Lookup!$A$2:$A$14,Product_Lookup!$E$2:$E$14)</f>
        <v>31</v>
      </c>
      <c r="O284" s="7">
        <f t="shared" si="27"/>
        <v>62</v>
      </c>
      <c r="P284" s="7">
        <f t="shared" si="28"/>
        <v>62</v>
      </c>
      <c r="Q284" s="10">
        <f t="shared" si="29"/>
        <v>0.5</v>
      </c>
      <c r="R284" t="s">
        <v>13</v>
      </c>
      <c r="S284" t="s">
        <v>48</v>
      </c>
    </row>
    <row r="285" spans="1:19">
      <c r="A285" t="s">
        <v>324</v>
      </c>
      <c r="B285" s="3">
        <v>46196</v>
      </c>
      <c r="C285" t="s">
        <v>10</v>
      </c>
      <c r="D285" t="s">
        <v>11</v>
      </c>
      <c r="E285" t="s">
        <v>27</v>
      </c>
      <c r="F285" t="str">
        <f>_xlfn.XLOOKUP(E285,Product_Lookup!$A$2:$A$14,Product_Lookup!$B$2:$B$14)</f>
        <v>Kettle</v>
      </c>
      <c r="G285" t="str">
        <f>_xlfn.XLOOKUP(Sales_Data!E285,Product_Lookup!$A$2:$A$14,Product_Lookup!$C$2:$C$14)</f>
        <v>Kitchenware</v>
      </c>
      <c r="H285">
        <f>_xlfn.XLOOKUP(E285,Product_Lookup!$A$2:$A$14,Product_Lookup!$D$2:$D$14)</f>
        <v>38</v>
      </c>
      <c r="I285">
        <v>1</v>
      </c>
      <c r="J285">
        <f t="shared" si="24"/>
        <v>38</v>
      </c>
      <c r="K285" s="4">
        <v>0</v>
      </c>
      <c r="L285" s="7">
        <f t="shared" si="25"/>
        <v>0</v>
      </c>
      <c r="M285" s="7">
        <f t="shared" si="26"/>
        <v>38</v>
      </c>
      <c r="N285" s="7">
        <f>_xlfn.XLOOKUP(E285,Product_Lookup!$A$2:$A$14,Product_Lookup!$E$2:$E$14)</f>
        <v>21</v>
      </c>
      <c r="O285" s="7">
        <f t="shared" si="27"/>
        <v>21</v>
      </c>
      <c r="P285" s="7">
        <f t="shared" si="28"/>
        <v>17</v>
      </c>
      <c r="Q285" s="10">
        <f t="shared" si="29"/>
        <v>0.44736842105263158</v>
      </c>
      <c r="R285" t="s">
        <v>13</v>
      </c>
      <c r="S285" t="s">
        <v>18</v>
      </c>
    </row>
    <row r="286" spans="1:19">
      <c r="A286" t="s">
        <v>325</v>
      </c>
      <c r="B286" s="3">
        <v>46045</v>
      </c>
      <c r="C286" t="s">
        <v>24</v>
      </c>
      <c r="D286" t="s">
        <v>16</v>
      </c>
      <c r="E286" t="s">
        <v>25</v>
      </c>
      <c r="F286" t="str">
        <f>_xlfn.XLOOKUP(E286,Product_Lookup!$A$2:$A$14,Product_Lookup!$B$2:$B$14)</f>
        <v>Table Lamp</v>
      </c>
      <c r="G286" t="str">
        <f>_xlfn.XLOOKUP(Sales_Data!E286,Product_Lookup!$A$2:$A$14,Product_Lookup!$C$2:$C$14)</f>
        <v>Lighting</v>
      </c>
      <c r="H286">
        <f>_xlfn.XLOOKUP(E286,Product_Lookup!$A$2:$A$14,Product_Lookup!$D$2:$D$14)</f>
        <v>62</v>
      </c>
      <c r="I286">
        <v>5</v>
      </c>
      <c r="J286">
        <f t="shared" si="24"/>
        <v>310</v>
      </c>
      <c r="K286" s="4">
        <v>0</v>
      </c>
      <c r="L286" s="7">
        <f t="shared" si="25"/>
        <v>0</v>
      </c>
      <c r="M286" s="7">
        <f t="shared" si="26"/>
        <v>310</v>
      </c>
      <c r="N286" s="7">
        <f>_xlfn.XLOOKUP(E286,Product_Lookup!$A$2:$A$14,Product_Lookup!$E$2:$E$14)</f>
        <v>31</v>
      </c>
      <c r="O286" s="7">
        <f t="shared" si="27"/>
        <v>155</v>
      </c>
      <c r="P286" s="7">
        <f t="shared" si="28"/>
        <v>155</v>
      </c>
      <c r="Q286" s="10">
        <f t="shared" si="29"/>
        <v>0.5</v>
      </c>
      <c r="R286" t="s">
        <v>13</v>
      </c>
      <c r="S286" t="s">
        <v>42</v>
      </c>
    </row>
    <row r="287" spans="1:19">
      <c r="A287" t="s">
        <v>326</v>
      </c>
      <c r="B287" s="3">
        <v>46135</v>
      </c>
      <c r="C287" t="s">
        <v>38</v>
      </c>
      <c r="D287" t="s">
        <v>11</v>
      </c>
      <c r="E287" t="s">
        <v>12</v>
      </c>
      <c r="F287" t="str">
        <f>_xlfn.XLOOKUP(E287,Product_Lookup!$A$2:$A$14,Product_Lookup!$B$2:$B$14)</f>
        <v>Desk</v>
      </c>
      <c r="G287" t="str">
        <f>_xlfn.XLOOKUP(Sales_Data!E287,Product_Lookup!$A$2:$A$14,Product_Lookup!$C$2:$C$14)</f>
        <v>Furniture</v>
      </c>
      <c r="H287">
        <f>_xlfn.XLOOKUP(E287,Product_Lookup!$A$2:$A$14,Product_Lookup!$D$2:$D$14)</f>
        <v>210</v>
      </c>
      <c r="I287">
        <v>3</v>
      </c>
      <c r="J287">
        <f t="shared" si="24"/>
        <v>630</v>
      </c>
      <c r="K287" s="4">
        <v>0.05</v>
      </c>
      <c r="L287" s="7">
        <f t="shared" si="25"/>
        <v>31.5</v>
      </c>
      <c r="M287" s="7">
        <f t="shared" si="26"/>
        <v>598.5</v>
      </c>
      <c r="N287" s="7">
        <f>_xlfn.XLOOKUP(E287,Product_Lookup!$A$2:$A$14,Product_Lookup!$E$2:$E$14)</f>
        <v>132</v>
      </c>
      <c r="O287" s="7">
        <f t="shared" si="27"/>
        <v>396</v>
      </c>
      <c r="P287" s="7">
        <f t="shared" si="28"/>
        <v>202.5</v>
      </c>
      <c r="Q287" s="10">
        <f t="shared" si="29"/>
        <v>0.33834586466165412</v>
      </c>
      <c r="R287" t="s">
        <v>13</v>
      </c>
      <c r="S287" t="s">
        <v>18</v>
      </c>
    </row>
    <row r="288" spans="1:19">
      <c r="A288" t="s">
        <v>327</v>
      </c>
      <c r="B288" s="3">
        <v>46085</v>
      </c>
      <c r="C288" t="s">
        <v>10</v>
      </c>
      <c r="D288" t="s">
        <v>20</v>
      </c>
      <c r="E288" t="s">
        <v>41</v>
      </c>
      <c r="F288" t="str">
        <f>_xlfn.XLOOKUP(E288,Product_Lookup!$A$2:$A$14,Product_Lookup!$B$2:$B$14)</f>
        <v>Floor Lamp</v>
      </c>
      <c r="G288" t="str">
        <f>_xlfn.XLOOKUP(Sales_Data!E288,Product_Lookup!$A$2:$A$14,Product_Lookup!$C$2:$C$14)</f>
        <v>Lighting</v>
      </c>
      <c r="H288">
        <f>_xlfn.XLOOKUP(E288,Product_Lookup!$A$2:$A$14,Product_Lookup!$D$2:$D$14)</f>
        <v>125</v>
      </c>
      <c r="I288">
        <v>2</v>
      </c>
      <c r="J288">
        <f t="shared" si="24"/>
        <v>250</v>
      </c>
      <c r="K288" s="4">
        <v>0.05</v>
      </c>
      <c r="L288" s="7">
        <f t="shared" si="25"/>
        <v>12.5</v>
      </c>
      <c r="M288" s="7">
        <f t="shared" si="26"/>
        <v>237.5</v>
      </c>
      <c r="N288" s="7">
        <f>_xlfn.XLOOKUP(E288,Product_Lookup!$A$2:$A$14,Product_Lookup!$E$2:$E$14)</f>
        <v>73</v>
      </c>
      <c r="O288" s="7">
        <f t="shared" si="27"/>
        <v>146</v>
      </c>
      <c r="P288" s="7">
        <f t="shared" si="28"/>
        <v>91.5</v>
      </c>
      <c r="Q288" s="10">
        <f t="shared" si="29"/>
        <v>0.38526315789473686</v>
      </c>
      <c r="R288" t="s">
        <v>13</v>
      </c>
      <c r="S288" t="s">
        <v>22</v>
      </c>
    </row>
    <row r="289" spans="1:19">
      <c r="A289" t="s">
        <v>328</v>
      </c>
      <c r="B289" s="3">
        <v>46145</v>
      </c>
      <c r="C289" t="s">
        <v>29</v>
      </c>
      <c r="D289" t="s">
        <v>11</v>
      </c>
      <c r="E289" t="s">
        <v>76</v>
      </c>
      <c r="F289" t="str">
        <f>_xlfn.XLOOKUP(E289,Product_Lookup!$A$2:$A$14,Product_Lookup!$B$2:$B$14)</f>
        <v>Cookware Set</v>
      </c>
      <c r="G289" t="str">
        <f>_xlfn.XLOOKUP(Sales_Data!E289,Product_Lookup!$A$2:$A$14,Product_Lookup!$C$2:$C$14)</f>
        <v>Kitchenware</v>
      </c>
      <c r="H289">
        <f>_xlfn.XLOOKUP(E289,Product_Lookup!$A$2:$A$14,Product_Lookup!$D$2:$D$14)</f>
        <v>110</v>
      </c>
      <c r="I289">
        <v>6</v>
      </c>
      <c r="J289">
        <f t="shared" si="24"/>
        <v>660</v>
      </c>
      <c r="K289" s="4">
        <v>0.15</v>
      </c>
      <c r="L289" s="7">
        <f t="shared" si="25"/>
        <v>99</v>
      </c>
      <c r="M289" s="7">
        <f t="shared" si="26"/>
        <v>561</v>
      </c>
      <c r="N289" s="7">
        <f>_xlfn.XLOOKUP(E289,Product_Lookup!$A$2:$A$14,Product_Lookup!$E$2:$E$14)</f>
        <v>65</v>
      </c>
      <c r="O289" s="7">
        <f t="shared" si="27"/>
        <v>390</v>
      </c>
      <c r="P289" s="7">
        <f t="shared" si="28"/>
        <v>171</v>
      </c>
      <c r="Q289" s="10">
        <f t="shared" si="29"/>
        <v>0.30481283422459893</v>
      </c>
      <c r="R289" t="s">
        <v>13</v>
      </c>
      <c r="S289" t="s">
        <v>14</v>
      </c>
    </row>
    <row r="290" spans="1:19">
      <c r="A290" t="s">
        <v>329</v>
      </c>
      <c r="B290" s="3">
        <v>46086</v>
      </c>
      <c r="C290" t="s">
        <v>10</v>
      </c>
      <c r="D290" t="s">
        <v>11</v>
      </c>
      <c r="E290" t="s">
        <v>25</v>
      </c>
      <c r="F290" t="str">
        <f>_xlfn.XLOOKUP(E290,Product_Lookup!$A$2:$A$14,Product_Lookup!$B$2:$B$14)</f>
        <v>Table Lamp</v>
      </c>
      <c r="G290" t="str">
        <f>_xlfn.XLOOKUP(Sales_Data!E290,Product_Lookup!$A$2:$A$14,Product_Lookup!$C$2:$C$14)</f>
        <v>Lighting</v>
      </c>
      <c r="H290">
        <f>_xlfn.XLOOKUP(E290,Product_Lookup!$A$2:$A$14,Product_Lookup!$D$2:$D$14)</f>
        <v>62</v>
      </c>
      <c r="I290">
        <v>4</v>
      </c>
      <c r="J290">
        <f t="shared" si="24"/>
        <v>248</v>
      </c>
      <c r="K290" s="4"/>
      <c r="L290" s="7">
        <f t="shared" si="25"/>
        <v>0</v>
      </c>
      <c r="M290" s="7">
        <f t="shared" si="26"/>
        <v>248</v>
      </c>
      <c r="N290" s="7">
        <f>_xlfn.XLOOKUP(E290,Product_Lookup!$A$2:$A$14,Product_Lookup!$E$2:$E$14)</f>
        <v>31</v>
      </c>
      <c r="O290" s="7">
        <f t="shared" si="27"/>
        <v>124</v>
      </c>
      <c r="P290" s="7">
        <f t="shared" si="28"/>
        <v>124</v>
      </c>
      <c r="Q290" s="10">
        <f t="shared" si="29"/>
        <v>0.5</v>
      </c>
      <c r="R290" t="s">
        <v>13</v>
      </c>
      <c r="S290" t="s">
        <v>14</v>
      </c>
    </row>
    <row r="291" spans="1:19">
      <c r="A291" t="s">
        <v>330</v>
      </c>
      <c r="B291" s="3">
        <v>46194</v>
      </c>
      <c r="C291" t="s">
        <v>10</v>
      </c>
      <c r="D291" t="s">
        <v>11</v>
      </c>
      <c r="E291" t="s">
        <v>25</v>
      </c>
      <c r="F291" t="str">
        <f>_xlfn.XLOOKUP(E291,Product_Lookup!$A$2:$A$14,Product_Lookup!$B$2:$B$14)</f>
        <v>Table Lamp</v>
      </c>
      <c r="G291" t="str">
        <f>_xlfn.XLOOKUP(Sales_Data!E291,Product_Lookup!$A$2:$A$14,Product_Lookup!$C$2:$C$14)</f>
        <v>Lighting</v>
      </c>
      <c r="H291">
        <f>_xlfn.XLOOKUP(E291,Product_Lookup!$A$2:$A$14,Product_Lookup!$D$2:$D$14)</f>
        <v>62</v>
      </c>
      <c r="I291">
        <v>3</v>
      </c>
      <c r="J291">
        <f t="shared" si="24"/>
        <v>186</v>
      </c>
      <c r="K291" s="4">
        <v>0.05</v>
      </c>
      <c r="L291" s="7">
        <f t="shared" si="25"/>
        <v>9.3000000000000007</v>
      </c>
      <c r="M291" s="7">
        <f t="shared" si="26"/>
        <v>176.7</v>
      </c>
      <c r="N291" s="7">
        <f>_xlfn.XLOOKUP(E291,Product_Lookup!$A$2:$A$14,Product_Lookup!$E$2:$E$14)</f>
        <v>31</v>
      </c>
      <c r="O291" s="7">
        <f t="shared" si="27"/>
        <v>93</v>
      </c>
      <c r="P291" s="7">
        <f t="shared" si="28"/>
        <v>83.699999999999989</v>
      </c>
      <c r="Q291" s="10">
        <f t="shared" si="29"/>
        <v>0.47368421052631576</v>
      </c>
      <c r="R291" t="s">
        <v>13</v>
      </c>
      <c r="S291" t="s">
        <v>14</v>
      </c>
    </row>
    <row r="292" spans="1:19">
      <c r="A292" t="s">
        <v>331</v>
      </c>
      <c r="B292" s="3">
        <v>46085</v>
      </c>
      <c r="C292" t="s">
        <v>10</v>
      </c>
      <c r="D292" t="s">
        <v>16</v>
      </c>
      <c r="E292" t="s">
        <v>67</v>
      </c>
      <c r="F292" t="str">
        <f>_xlfn.XLOOKUP(E292,Product_Lookup!$A$2:$A$14,Product_Lookup!$B$2:$B$14)</f>
        <v>Rug</v>
      </c>
      <c r="G292" t="str">
        <f>_xlfn.XLOOKUP(Sales_Data!E292,Product_Lookup!$A$2:$A$14,Product_Lookup!$C$2:$C$14)</f>
        <v>Home Accessories</v>
      </c>
      <c r="H292">
        <f>_xlfn.XLOOKUP(E292,Product_Lookup!$A$2:$A$14,Product_Lookup!$D$2:$D$14)</f>
        <v>145</v>
      </c>
      <c r="I292">
        <v>7</v>
      </c>
      <c r="J292">
        <f t="shared" si="24"/>
        <v>1015</v>
      </c>
      <c r="K292" s="4">
        <v>0.1</v>
      </c>
      <c r="L292" s="7">
        <f t="shared" si="25"/>
        <v>101.5</v>
      </c>
      <c r="M292" s="7">
        <f t="shared" si="26"/>
        <v>913.5</v>
      </c>
      <c r="N292" s="7">
        <f>_xlfn.XLOOKUP(E292,Product_Lookup!$A$2:$A$14,Product_Lookup!$E$2:$E$14)</f>
        <v>88</v>
      </c>
      <c r="O292" s="7">
        <f t="shared" si="27"/>
        <v>616</v>
      </c>
      <c r="P292" s="7">
        <f t="shared" si="28"/>
        <v>297.5</v>
      </c>
      <c r="Q292" s="10">
        <f t="shared" si="29"/>
        <v>0.32567049808429116</v>
      </c>
      <c r="R292" t="s">
        <v>13</v>
      </c>
      <c r="S292" t="s">
        <v>33</v>
      </c>
    </row>
    <row r="293" spans="1:19">
      <c r="A293" t="s">
        <v>332</v>
      </c>
      <c r="B293" s="3">
        <v>46130</v>
      </c>
      <c r="C293" t="s">
        <v>29</v>
      </c>
      <c r="D293" t="s">
        <v>20</v>
      </c>
      <c r="E293" t="s">
        <v>32</v>
      </c>
      <c r="F293" t="str">
        <f>_xlfn.XLOOKUP(E293,Product_Lookup!$A$2:$A$14,Product_Lookup!$B$2:$B$14)</f>
        <v>Sofa</v>
      </c>
      <c r="G293" t="str">
        <f>_xlfn.XLOOKUP(Sales_Data!E293,Product_Lookup!$A$2:$A$14,Product_Lookup!$C$2:$C$14)</f>
        <v>Furniture</v>
      </c>
      <c r="H293">
        <f>_xlfn.XLOOKUP(E293,Product_Lookup!$A$2:$A$14,Product_Lookup!$D$2:$D$14)</f>
        <v>420</v>
      </c>
      <c r="I293">
        <v>1</v>
      </c>
      <c r="J293">
        <f t="shared" si="24"/>
        <v>420</v>
      </c>
      <c r="K293" s="4">
        <v>0.15</v>
      </c>
      <c r="L293" s="7">
        <f t="shared" si="25"/>
        <v>63</v>
      </c>
      <c r="M293" s="7">
        <f t="shared" si="26"/>
        <v>357</v>
      </c>
      <c r="N293" s="7">
        <f>_xlfn.XLOOKUP(E293,Product_Lookup!$A$2:$A$14,Product_Lookup!$E$2:$E$14)</f>
        <v>280</v>
      </c>
      <c r="O293" s="7">
        <f t="shared" si="27"/>
        <v>280</v>
      </c>
      <c r="P293" s="7">
        <f t="shared" si="28"/>
        <v>77</v>
      </c>
      <c r="Q293" s="10">
        <f t="shared" si="29"/>
        <v>0.21568627450980393</v>
      </c>
      <c r="R293" t="s">
        <v>13</v>
      </c>
      <c r="S293" t="s">
        <v>42</v>
      </c>
    </row>
    <row r="294" spans="1:19">
      <c r="A294" t="s">
        <v>333</v>
      </c>
      <c r="B294" s="3">
        <v>46081</v>
      </c>
      <c r="C294" t="s">
        <v>10</v>
      </c>
      <c r="D294" t="s">
        <v>11</v>
      </c>
      <c r="E294" t="s">
        <v>54</v>
      </c>
      <c r="F294" t="str">
        <f>_xlfn.XLOOKUP(E294,Product_Lookup!$A$2:$A$14,Product_Lookup!$B$2:$B$14)</f>
        <v>Wall Mirror</v>
      </c>
      <c r="G294" t="str">
        <f>_xlfn.XLOOKUP(Sales_Data!E294,Product_Lookup!$A$2:$A$14,Product_Lookup!$C$2:$C$14)</f>
        <v>Home Accessories</v>
      </c>
      <c r="H294">
        <f>_xlfn.XLOOKUP(E294,Product_Lookup!$A$2:$A$14,Product_Lookup!$D$2:$D$14)</f>
        <v>85</v>
      </c>
      <c r="I294">
        <v>7</v>
      </c>
      <c r="J294">
        <f t="shared" si="24"/>
        <v>595</v>
      </c>
      <c r="K294" s="4">
        <v>0.2</v>
      </c>
      <c r="L294" s="7">
        <f t="shared" si="25"/>
        <v>119</v>
      </c>
      <c r="M294" s="7">
        <f t="shared" si="26"/>
        <v>476</v>
      </c>
      <c r="N294" s="7">
        <f>_xlfn.XLOOKUP(E294,Product_Lookup!$A$2:$A$14,Product_Lookup!$E$2:$E$14)</f>
        <v>41</v>
      </c>
      <c r="O294" s="7">
        <f t="shared" si="27"/>
        <v>287</v>
      </c>
      <c r="P294" s="7">
        <f t="shared" si="28"/>
        <v>189</v>
      </c>
      <c r="Q294" s="10">
        <f t="shared" si="29"/>
        <v>0.39705882352941174</v>
      </c>
      <c r="R294" t="s">
        <v>36</v>
      </c>
      <c r="S294" t="s">
        <v>39</v>
      </c>
    </row>
    <row r="295" spans="1:19">
      <c r="A295" t="s">
        <v>334</v>
      </c>
      <c r="B295" s="3">
        <v>46185</v>
      </c>
      <c r="C295" t="s">
        <v>44</v>
      </c>
      <c r="D295" t="s">
        <v>11</v>
      </c>
      <c r="E295" t="s">
        <v>41</v>
      </c>
      <c r="F295" t="str">
        <f>_xlfn.XLOOKUP(E295,Product_Lookup!$A$2:$A$14,Product_Lookup!$B$2:$B$14)</f>
        <v>Floor Lamp</v>
      </c>
      <c r="G295" t="str">
        <f>_xlfn.XLOOKUP(Sales_Data!E295,Product_Lookup!$A$2:$A$14,Product_Lookup!$C$2:$C$14)</f>
        <v>Lighting</v>
      </c>
      <c r="H295">
        <f>_xlfn.XLOOKUP(E295,Product_Lookup!$A$2:$A$14,Product_Lookup!$D$2:$D$14)</f>
        <v>125</v>
      </c>
      <c r="I295">
        <v>4</v>
      </c>
      <c r="J295">
        <f t="shared" si="24"/>
        <v>500</v>
      </c>
      <c r="K295" s="4">
        <v>0.1</v>
      </c>
      <c r="L295" s="7">
        <f t="shared" si="25"/>
        <v>50</v>
      </c>
      <c r="M295" s="7">
        <f t="shared" si="26"/>
        <v>450</v>
      </c>
      <c r="N295" s="7">
        <f>_xlfn.XLOOKUP(E295,Product_Lookup!$A$2:$A$14,Product_Lookup!$E$2:$E$14)</f>
        <v>73</v>
      </c>
      <c r="O295" s="7">
        <f t="shared" si="27"/>
        <v>292</v>
      </c>
      <c r="P295" s="7">
        <f t="shared" si="28"/>
        <v>158</v>
      </c>
      <c r="Q295" s="10">
        <f t="shared" si="29"/>
        <v>0.3511111111111111</v>
      </c>
      <c r="R295" t="s">
        <v>13</v>
      </c>
      <c r="S295" t="s">
        <v>48</v>
      </c>
    </row>
    <row r="296" spans="1:19">
      <c r="A296" t="s">
        <v>335</v>
      </c>
      <c r="B296" s="3">
        <v>46169</v>
      </c>
      <c r="C296" t="s">
        <v>29</v>
      </c>
      <c r="D296" t="s">
        <v>16</v>
      </c>
      <c r="E296" t="s">
        <v>76</v>
      </c>
      <c r="F296" t="str">
        <f>_xlfn.XLOOKUP(E296,Product_Lookup!$A$2:$A$14,Product_Lookup!$B$2:$B$14)</f>
        <v>Cookware Set</v>
      </c>
      <c r="G296" t="str">
        <f>_xlfn.XLOOKUP(Sales_Data!E296,Product_Lookup!$A$2:$A$14,Product_Lookup!$C$2:$C$14)</f>
        <v>Kitchenware</v>
      </c>
      <c r="H296">
        <f>_xlfn.XLOOKUP(E296,Product_Lookup!$A$2:$A$14,Product_Lookup!$D$2:$D$14)</f>
        <v>110</v>
      </c>
      <c r="I296">
        <v>4</v>
      </c>
      <c r="J296">
        <f t="shared" si="24"/>
        <v>440</v>
      </c>
      <c r="K296" s="4">
        <v>0.1</v>
      </c>
      <c r="L296" s="7">
        <f t="shared" si="25"/>
        <v>44</v>
      </c>
      <c r="M296" s="7">
        <f t="shared" si="26"/>
        <v>396</v>
      </c>
      <c r="N296" s="7">
        <f>_xlfn.XLOOKUP(E296,Product_Lookup!$A$2:$A$14,Product_Lookup!$E$2:$E$14)</f>
        <v>65</v>
      </c>
      <c r="O296" s="7">
        <f t="shared" si="27"/>
        <v>260</v>
      </c>
      <c r="P296" s="7">
        <f t="shared" si="28"/>
        <v>136</v>
      </c>
      <c r="Q296" s="10">
        <f t="shared" si="29"/>
        <v>0.34343434343434343</v>
      </c>
      <c r="R296" t="s">
        <v>13</v>
      </c>
      <c r="S296" t="s">
        <v>33</v>
      </c>
    </row>
    <row r="297" spans="1:19">
      <c r="A297" t="s">
        <v>336</v>
      </c>
      <c r="B297" s="3">
        <v>46198</v>
      </c>
      <c r="C297" t="s">
        <v>29</v>
      </c>
      <c r="D297" t="s">
        <v>16</v>
      </c>
      <c r="E297" t="s">
        <v>57</v>
      </c>
      <c r="F297" t="str">
        <f>_xlfn.XLOOKUP(E297,Product_Lookup!$A$2:$A$14,Product_Lookup!$B$2:$B$14)</f>
        <v>Shelving Unit</v>
      </c>
      <c r="G297" t="str">
        <f>_xlfn.XLOOKUP(Sales_Data!E297,Product_Lookup!$A$2:$A$14,Product_Lookup!$C$2:$C$14)</f>
        <v>Storage</v>
      </c>
      <c r="H297">
        <f>_xlfn.XLOOKUP(E297,Product_Lookup!$A$2:$A$14,Product_Lookup!$D$2:$D$14)</f>
        <v>115</v>
      </c>
      <c r="I297">
        <v>1</v>
      </c>
      <c r="J297">
        <f t="shared" si="24"/>
        <v>115</v>
      </c>
      <c r="K297" s="4">
        <v>0.25</v>
      </c>
      <c r="L297" s="7">
        <f t="shared" si="25"/>
        <v>28.75</v>
      </c>
      <c r="M297" s="7">
        <f t="shared" si="26"/>
        <v>86.25</v>
      </c>
      <c r="N297" s="7">
        <f>_xlfn.XLOOKUP(E297,Product_Lookup!$A$2:$A$14,Product_Lookup!$E$2:$E$14)</f>
        <v>67</v>
      </c>
      <c r="O297" s="7">
        <f t="shared" si="27"/>
        <v>67</v>
      </c>
      <c r="P297" s="7">
        <f t="shared" si="28"/>
        <v>19.25</v>
      </c>
      <c r="Q297" s="10">
        <f t="shared" si="29"/>
        <v>0.22318840579710145</v>
      </c>
      <c r="R297" t="s">
        <v>13</v>
      </c>
      <c r="S297" t="s">
        <v>39</v>
      </c>
    </row>
    <row r="298" spans="1:19">
      <c r="A298" t="s">
        <v>337</v>
      </c>
      <c r="B298" s="3">
        <v>46032</v>
      </c>
      <c r="C298" t="s">
        <v>29</v>
      </c>
      <c r="D298" t="s">
        <v>20</v>
      </c>
      <c r="E298" t="s">
        <v>76</v>
      </c>
      <c r="F298" t="str">
        <f>_xlfn.XLOOKUP(E298,Product_Lookup!$A$2:$A$14,Product_Lookup!$B$2:$B$14)</f>
        <v>Cookware Set</v>
      </c>
      <c r="G298" t="str">
        <f>_xlfn.XLOOKUP(Sales_Data!E298,Product_Lookup!$A$2:$A$14,Product_Lookup!$C$2:$C$14)</f>
        <v>Kitchenware</v>
      </c>
      <c r="H298">
        <f>_xlfn.XLOOKUP(E298,Product_Lookup!$A$2:$A$14,Product_Lookup!$D$2:$D$14)</f>
        <v>110</v>
      </c>
      <c r="I298">
        <v>2</v>
      </c>
      <c r="J298">
        <f t="shared" si="24"/>
        <v>220</v>
      </c>
      <c r="K298" s="4">
        <v>0</v>
      </c>
      <c r="L298" s="7">
        <f t="shared" si="25"/>
        <v>0</v>
      </c>
      <c r="M298" s="7">
        <f t="shared" si="26"/>
        <v>220</v>
      </c>
      <c r="N298" s="7">
        <f>_xlfn.XLOOKUP(E298,Product_Lookup!$A$2:$A$14,Product_Lookup!$E$2:$E$14)</f>
        <v>65</v>
      </c>
      <c r="O298" s="7">
        <f t="shared" si="27"/>
        <v>130</v>
      </c>
      <c r="P298" s="7">
        <f t="shared" si="28"/>
        <v>90</v>
      </c>
      <c r="Q298" s="10">
        <f t="shared" si="29"/>
        <v>0.40909090909090912</v>
      </c>
      <c r="R298" t="s">
        <v>13</v>
      </c>
      <c r="S298" t="s">
        <v>22</v>
      </c>
    </row>
    <row r="299" spans="1:19">
      <c r="A299" t="s">
        <v>338</v>
      </c>
      <c r="B299" s="3">
        <v>46095</v>
      </c>
      <c r="C299" t="s">
        <v>29</v>
      </c>
      <c r="D299" t="s">
        <v>16</v>
      </c>
      <c r="E299" t="s">
        <v>25</v>
      </c>
      <c r="F299" t="str">
        <f>_xlfn.XLOOKUP(E299,Product_Lookup!$A$2:$A$14,Product_Lookup!$B$2:$B$14)</f>
        <v>Table Lamp</v>
      </c>
      <c r="G299" t="str">
        <f>_xlfn.XLOOKUP(Sales_Data!E299,Product_Lookup!$A$2:$A$14,Product_Lookup!$C$2:$C$14)</f>
        <v>Lighting</v>
      </c>
      <c r="H299">
        <f>_xlfn.XLOOKUP(E299,Product_Lookup!$A$2:$A$14,Product_Lookup!$D$2:$D$14)</f>
        <v>62</v>
      </c>
      <c r="I299">
        <v>1</v>
      </c>
      <c r="J299">
        <f t="shared" si="24"/>
        <v>62</v>
      </c>
      <c r="K299" s="4">
        <v>0</v>
      </c>
      <c r="L299" s="7">
        <f t="shared" si="25"/>
        <v>0</v>
      </c>
      <c r="M299" s="7">
        <f t="shared" si="26"/>
        <v>62</v>
      </c>
      <c r="N299" s="7">
        <f>_xlfn.XLOOKUP(E299,Product_Lookup!$A$2:$A$14,Product_Lookup!$E$2:$E$14)</f>
        <v>31</v>
      </c>
      <c r="O299" s="7">
        <f t="shared" si="27"/>
        <v>31</v>
      </c>
      <c r="P299" s="7">
        <f t="shared" si="28"/>
        <v>31</v>
      </c>
      <c r="Q299" s="10">
        <f t="shared" si="29"/>
        <v>0.5</v>
      </c>
      <c r="R299" t="s">
        <v>13</v>
      </c>
      <c r="S299" t="s">
        <v>48</v>
      </c>
    </row>
    <row r="300" spans="1:19">
      <c r="A300" t="s">
        <v>339</v>
      </c>
      <c r="B300" s="3">
        <v>46183</v>
      </c>
      <c r="C300" t="s">
        <v>10</v>
      </c>
      <c r="D300" t="s">
        <v>11</v>
      </c>
      <c r="E300" t="s">
        <v>67</v>
      </c>
      <c r="F300" t="str">
        <f>_xlfn.XLOOKUP(E300,Product_Lookup!$A$2:$A$14,Product_Lookup!$B$2:$B$14)</f>
        <v>Rug</v>
      </c>
      <c r="G300" t="str">
        <f>_xlfn.XLOOKUP(Sales_Data!E300,Product_Lookup!$A$2:$A$14,Product_Lookup!$C$2:$C$14)</f>
        <v>Home Accessories</v>
      </c>
      <c r="H300">
        <f>_xlfn.XLOOKUP(E300,Product_Lookup!$A$2:$A$14,Product_Lookup!$D$2:$D$14)</f>
        <v>145</v>
      </c>
      <c r="I300">
        <v>2</v>
      </c>
      <c r="J300">
        <f t="shared" si="24"/>
        <v>290</v>
      </c>
      <c r="K300" s="4">
        <v>0.2</v>
      </c>
      <c r="L300" s="7">
        <f t="shared" si="25"/>
        <v>58</v>
      </c>
      <c r="M300" s="7">
        <f t="shared" si="26"/>
        <v>232</v>
      </c>
      <c r="N300" s="7">
        <f>_xlfn.XLOOKUP(E300,Product_Lookup!$A$2:$A$14,Product_Lookup!$E$2:$E$14)</f>
        <v>88</v>
      </c>
      <c r="O300" s="7">
        <f t="shared" si="27"/>
        <v>176</v>
      </c>
      <c r="P300" s="7">
        <f t="shared" si="28"/>
        <v>56</v>
      </c>
      <c r="Q300" s="10">
        <f t="shared" si="29"/>
        <v>0.2413793103448276</v>
      </c>
      <c r="R300" t="s">
        <v>13</v>
      </c>
      <c r="S300" t="s">
        <v>33</v>
      </c>
    </row>
    <row r="301" spans="1:19">
      <c r="A301" t="s">
        <v>340</v>
      </c>
      <c r="B301" s="3">
        <v>46183</v>
      </c>
      <c r="C301" t="s">
        <v>29</v>
      </c>
      <c r="D301" t="s">
        <v>20</v>
      </c>
      <c r="E301" t="s">
        <v>67</v>
      </c>
      <c r="F301" t="str">
        <f>_xlfn.XLOOKUP(E301,Product_Lookup!$A$2:$A$14,Product_Lookup!$B$2:$B$14)</f>
        <v>Rug</v>
      </c>
      <c r="G301" t="str">
        <f>_xlfn.XLOOKUP(Sales_Data!E301,Product_Lookup!$A$2:$A$14,Product_Lookup!$C$2:$C$14)</f>
        <v>Home Accessories</v>
      </c>
      <c r="H301">
        <f>_xlfn.XLOOKUP(E301,Product_Lookup!$A$2:$A$14,Product_Lookup!$D$2:$D$14)</f>
        <v>145</v>
      </c>
      <c r="I301">
        <v>5</v>
      </c>
      <c r="J301">
        <f t="shared" si="24"/>
        <v>725</v>
      </c>
      <c r="K301" s="4">
        <v>0.2</v>
      </c>
      <c r="L301" s="7">
        <f t="shared" si="25"/>
        <v>145</v>
      </c>
      <c r="M301" s="7">
        <f t="shared" si="26"/>
        <v>580</v>
      </c>
      <c r="N301" s="7">
        <f>_xlfn.XLOOKUP(E301,Product_Lookup!$A$2:$A$14,Product_Lookup!$E$2:$E$14)</f>
        <v>88</v>
      </c>
      <c r="O301" s="7">
        <f t="shared" si="27"/>
        <v>440</v>
      </c>
      <c r="P301" s="7">
        <f t="shared" si="28"/>
        <v>140</v>
      </c>
      <c r="Q301" s="10">
        <f t="shared" si="29"/>
        <v>0.2413793103448276</v>
      </c>
      <c r="R301" t="s">
        <v>13</v>
      </c>
      <c r="S301" t="s">
        <v>39</v>
      </c>
    </row>
    <row r="302" spans="1:19">
      <c r="A302" t="s">
        <v>341</v>
      </c>
      <c r="B302" s="3">
        <v>46069</v>
      </c>
      <c r="C302" t="s">
        <v>10</v>
      </c>
      <c r="D302" t="s">
        <v>11</v>
      </c>
      <c r="E302" t="s">
        <v>98</v>
      </c>
      <c r="F302" t="str">
        <f>_xlfn.XLOOKUP(E302,Product_Lookup!$A$2:$A$14,Product_Lookup!$B$2:$B$14)</f>
        <v>Blender</v>
      </c>
      <c r="G302" t="str">
        <f>_xlfn.XLOOKUP(Sales_Data!E302,Product_Lookup!$A$2:$A$14,Product_Lookup!$C$2:$C$14)</f>
        <v>Kitchenware</v>
      </c>
      <c r="H302">
        <f>_xlfn.XLOOKUP(E302,Product_Lookup!$A$2:$A$14,Product_Lookup!$D$2:$D$14)</f>
        <v>75</v>
      </c>
      <c r="I302">
        <v>1</v>
      </c>
      <c r="J302">
        <f t="shared" si="24"/>
        <v>75</v>
      </c>
      <c r="K302" s="4">
        <v>0</v>
      </c>
      <c r="L302" s="7">
        <f t="shared" si="25"/>
        <v>0</v>
      </c>
      <c r="M302" s="7">
        <f t="shared" si="26"/>
        <v>75</v>
      </c>
      <c r="N302" s="7">
        <f>_xlfn.XLOOKUP(E302,Product_Lookup!$A$2:$A$14,Product_Lookup!$E$2:$E$14)</f>
        <v>43</v>
      </c>
      <c r="O302" s="7">
        <f t="shared" si="27"/>
        <v>43</v>
      </c>
      <c r="P302" s="7">
        <f t="shared" si="28"/>
        <v>32</v>
      </c>
      <c r="Q302" s="10">
        <f t="shared" si="29"/>
        <v>0.42666666666666669</v>
      </c>
      <c r="R302" t="s">
        <v>13</v>
      </c>
      <c r="S302" t="s">
        <v>14</v>
      </c>
    </row>
    <row r="303" spans="1:19">
      <c r="A303" t="s">
        <v>342</v>
      </c>
      <c r="B303" s="3">
        <v>46193</v>
      </c>
      <c r="C303" t="s">
        <v>38</v>
      </c>
      <c r="D303" t="s">
        <v>20</v>
      </c>
      <c r="E303" t="s">
        <v>32</v>
      </c>
      <c r="F303" t="str">
        <f>_xlfn.XLOOKUP(E303,Product_Lookup!$A$2:$A$14,Product_Lookup!$B$2:$B$14)</f>
        <v>Sofa</v>
      </c>
      <c r="G303" t="str">
        <f>_xlfn.XLOOKUP(Sales_Data!E303,Product_Lookup!$A$2:$A$14,Product_Lookup!$C$2:$C$14)</f>
        <v>Furniture</v>
      </c>
      <c r="H303">
        <f>_xlfn.XLOOKUP(E303,Product_Lookup!$A$2:$A$14,Product_Lookup!$D$2:$D$14)</f>
        <v>420</v>
      </c>
      <c r="I303">
        <v>3</v>
      </c>
      <c r="J303">
        <f t="shared" si="24"/>
        <v>1260</v>
      </c>
      <c r="K303" s="4">
        <v>0.15</v>
      </c>
      <c r="L303" s="7">
        <f t="shared" si="25"/>
        <v>189</v>
      </c>
      <c r="M303" s="7">
        <f t="shared" si="26"/>
        <v>1071</v>
      </c>
      <c r="N303" s="7">
        <f>_xlfn.XLOOKUP(E303,Product_Lookup!$A$2:$A$14,Product_Lookup!$E$2:$E$14)</f>
        <v>280</v>
      </c>
      <c r="O303" s="7">
        <f t="shared" si="27"/>
        <v>840</v>
      </c>
      <c r="P303" s="7">
        <f t="shared" si="28"/>
        <v>231</v>
      </c>
      <c r="Q303" s="10">
        <f t="shared" si="29"/>
        <v>0.21568627450980393</v>
      </c>
      <c r="R303" t="s">
        <v>13</v>
      </c>
      <c r="S303" t="s">
        <v>42</v>
      </c>
    </row>
    <row r="304" spans="1:19">
      <c r="A304" t="s">
        <v>343</v>
      </c>
      <c r="B304" s="3">
        <v>46172</v>
      </c>
      <c r="C304" t="s">
        <v>38</v>
      </c>
      <c r="D304" t="s">
        <v>16</v>
      </c>
      <c r="E304" t="s">
        <v>27</v>
      </c>
      <c r="F304" t="str">
        <f>_xlfn.XLOOKUP(E304,Product_Lookup!$A$2:$A$14,Product_Lookup!$B$2:$B$14)</f>
        <v>Kettle</v>
      </c>
      <c r="G304" t="str">
        <f>_xlfn.XLOOKUP(Sales_Data!E304,Product_Lookup!$A$2:$A$14,Product_Lookup!$C$2:$C$14)</f>
        <v>Kitchenware</v>
      </c>
      <c r="H304">
        <f>_xlfn.XLOOKUP(E304,Product_Lookup!$A$2:$A$14,Product_Lookup!$D$2:$D$14)</f>
        <v>38</v>
      </c>
      <c r="I304">
        <v>3</v>
      </c>
      <c r="J304">
        <f t="shared" si="24"/>
        <v>114</v>
      </c>
      <c r="K304" s="4">
        <v>0.15</v>
      </c>
      <c r="L304" s="7">
        <f t="shared" si="25"/>
        <v>17.099999999999998</v>
      </c>
      <c r="M304" s="7">
        <f t="shared" si="26"/>
        <v>96.9</v>
      </c>
      <c r="N304" s="7">
        <f>_xlfn.XLOOKUP(E304,Product_Lookup!$A$2:$A$14,Product_Lookup!$E$2:$E$14)</f>
        <v>21</v>
      </c>
      <c r="O304" s="7">
        <f t="shared" si="27"/>
        <v>63</v>
      </c>
      <c r="P304" s="7">
        <f t="shared" si="28"/>
        <v>33.900000000000006</v>
      </c>
      <c r="Q304" s="10">
        <f t="shared" si="29"/>
        <v>0.34984520123839014</v>
      </c>
      <c r="R304" t="s">
        <v>13</v>
      </c>
      <c r="S304" t="s">
        <v>18</v>
      </c>
    </row>
    <row r="305" spans="1:19">
      <c r="A305" t="s">
        <v>344</v>
      </c>
      <c r="B305" s="3">
        <v>46163</v>
      </c>
      <c r="C305" t="s">
        <v>44</v>
      </c>
      <c r="D305" t="s">
        <v>11</v>
      </c>
      <c r="E305" t="s">
        <v>57</v>
      </c>
      <c r="F305" t="str">
        <f>_xlfn.XLOOKUP(E305,Product_Lookup!$A$2:$A$14,Product_Lookup!$B$2:$B$14)</f>
        <v>Shelving Unit</v>
      </c>
      <c r="G305" t="str">
        <f>_xlfn.XLOOKUP(Sales_Data!E305,Product_Lookup!$A$2:$A$14,Product_Lookup!$C$2:$C$14)</f>
        <v>Storage</v>
      </c>
      <c r="H305">
        <f>_xlfn.XLOOKUP(E305,Product_Lookup!$A$2:$A$14,Product_Lookup!$D$2:$D$14)</f>
        <v>115</v>
      </c>
      <c r="I305">
        <v>6</v>
      </c>
      <c r="J305">
        <f t="shared" si="24"/>
        <v>690</v>
      </c>
      <c r="K305" s="4">
        <v>0.1</v>
      </c>
      <c r="L305" s="7">
        <f t="shared" si="25"/>
        <v>69</v>
      </c>
      <c r="M305" s="7">
        <f t="shared" si="26"/>
        <v>621</v>
      </c>
      <c r="N305" s="7">
        <f>_xlfn.XLOOKUP(E305,Product_Lookup!$A$2:$A$14,Product_Lookup!$E$2:$E$14)</f>
        <v>67</v>
      </c>
      <c r="O305" s="7">
        <f t="shared" si="27"/>
        <v>402</v>
      </c>
      <c r="P305" s="7">
        <f t="shared" si="28"/>
        <v>219</v>
      </c>
      <c r="Q305" s="10">
        <f t="shared" si="29"/>
        <v>0.35265700483091789</v>
      </c>
      <c r="R305" t="s">
        <v>13</v>
      </c>
      <c r="S305" t="s">
        <v>33</v>
      </c>
    </row>
    <row r="306" spans="1:19">
      <c r="A306" t="s">
        <v>345</v>
      </c>
      <c r="B306" s="3">
        <v>46047</v>
      </c>
      <c r="C306" t="s">
        <v>29</v>
      </c>
      <c r="D306" t="s">
        <v>11</v>
      </c>
      <c r="E306" t="s">
        <v>30</v>
      </c>
      <c r="F306" t="str">
        <f>_xlfn.XLOOKUP(E306,Product_Lookup!$A$2:$A$14,Product_Lookup!$B$2:$B$14)</f>
        <v>Dining Chair</v>
      </c>
      <c r="G306" t="str">
        <f>_xlfn.XLOOKUP(Sales_Data!E306,Product_Lookup!$A$2:$A$14,Product_Lookup!$C$2:$C$14)</f>
        <v>Furniture</v>
      </c>
      <c r="H306">
        <f>_xlfn.XLOOKUP(E306,Product_Lookup!$A$2:$A$14,Product_Lookup!$D$2:$D$14)</f>
        <v>95</v>
      </c>
      <c r="I306">
        <v>2</v>
      </c>
      <c r="J306">
        <f t="shared" si="24"/>
        <v>190</v>
      </c>
      <c r="K306" s="4">
        <v>0.2</v>
      </c>
      <c r="L306" s="7">
        <f t="shared" si="25"/>
        <v>38</v>
      </c>
      <c r="M306" s="7">
        <f t="shared" si="26"/>
        <v>152</v>
      </c>
      <c r="N306" s="7">
        <f>_xlfn.XLOOKUP(E306,Product_Lookup!$A$2:$A$14,Product_Lookup!$E$2:$E$14)</f>
        <v>54</v>
      </c>
      <c r="O306" s="7">
        <f t="shared" si="27"/>
        <v>108</v>
      </c>
      <c r="P306" s="7">
        <f t="shared" si="28"/>
        <v>44</v>
      </c>
      <c r="Q306" s="10">
        <f t="shared" si="29"/>
        <v>0.28947368421052633</v>
      </c>
      <c r="R306" t="s">
        <v>13</v>
      </c>
      <c r="S306" t="s">
        <v>33</v>
      </c>
    </row>
    <row r="307" spans="1:19">
      <c r="A307" t="s">
        <v>346</v>
      </c>
      <c r="B307" s="3">
        <v>46034</v>
      </c>
      <c r="C307" t="s">
        <v>24</v>
      </c>
      <c r="D307" t="s">
        <v>11</v>
      </c>
      <c r="E307" t="s">
        <v>45</v>
      </c>
      <c r="F307" t="str">
        <f>_xlfn.XLOOKUP(E307,Product_Lookup!$A$2:$A$14,Product_Lookup!$B$2:$B$14)</f>
        <v>Cushion Set</v>
      </c>
      <c r="G307" t="str">
        <f>_xlfn.XLOOKUP(Sales_Data!E307,Product_Lookup!$A$2:$A$14,Product_Lookup!$C$2:$C$14)</f>
        <v>Home Accessories</v>
      </c>
      <c r="H307">
        <f>_xlfn.XLOOKUP(E307,Product_Lookup!$A$2:$A$14,Product_Lookup!$D$2:$D$14)</f>
        <v>32</v>
      </c>
      <c r="I307">
        <v>1</v>
      </c>
      <c r="J307">
        <f t="shared" si="24"/>
        <v>32</v>
      </c>
      <c r="K307" s="4">
        <v>0</v>
      </c>
      <c r="L307" s="7">
        <f t="shared" si="25"/>
        <v>0</v>
      </c>
      <c r="M307" s="7">
        <f t="shared" si="26"/>
        <v>32</v>
      </c>
      <c r="N307" s="7">
        <f>_xlfn.XLOOKUP(E307,Product_Lookup!$A$2:$A$14,Product_Lookup!$E$2:$E$14)</f>
        <v>14</v>
      </c>
      <c r="O307" s="7">
        <f t="shared" si="27"/>
        <v>14</v>
      </c>
      <c r="P307" s="7">
        <f t="shared" si="28"/>
        <v>18</v>
      </c>
      <c r="Q307" s="10">
        <f t="shared" si="29"/>
        <v>0.5625</v>
      </c>
      <c r="R307" t="s">
        <v>13</v>
      </c>
      <c r="S307" t="s">
        <v>42</v>
      </c>
    </row>
    <row r="308" spans="1:19">
      <c r="A308" t="s">
        <v>347</v>
      </c>
      <c r="B308" s="3">
        <v>46058</v>
      </c>
      <c r="C308" t="s">
        <v>29</v>
      </c>
      <c r="D308" t="s">
        <v>20</v>
      </c>
      <c r="E308" t="s">
        <v>12</v>
      </c>
      <c r="F308" t="str">
        <f>_xlfn.XLOOKUP(E308,Product_Lookup!$A$2:$A$14,Product_Lookup!$B$2:$B$14)</f>
        <v>Desk</v>
      </c>
      <c r="G308" t="str">
        <f>_xlfn.XLOOKUP(Sales_Data!E308,Product_Lookup!$A$2:$A$14,Product_Lookup!$C$2:$C$14)</f>
        <v>Furniture</v>
      </c>
      <c r="H308">
        <f>_xlfn.XLOOKUP(E308,Product_Lookup!$A$2:$A$14,Product_Lookup!$D$2:$D$14)</f>
        <v>210</v>
      </c>
      <c r="I308">
        <v>6</v>
      </c>
      <c r="J308">
        <f t="shared" si="24"/>
        <v>1260</v>
      </c>
      <c r="K308" s="4">
        <v>0.1</v>
      </c>
      <c r="L308" s="7">
        <f t="shared" si="25"/>
        <v>126</v>
      </c>
      <c r="M308" s="7">
        <f t="shared" si="26"/>
        <v>1134</v>
      </c>
      <c r="N308" s="7">
        <f>_xlfn.XLOOKUP(E308,Product_Lookup!$A$2:$A$14,Product_Lookup!$E$2:$E$14)</f>
        <v>132</v>
      </c>
      <c r="O308" s="7">
        <f t="shared" si="27"/>
        <v>792</v>
      </c>
      <c r="P308" s="7">
        <f t="shared" si="28"/>
        <v>342</v>
      </c>
      <c r="Q308" s="10">
        <f t="shared" si="29"/>
        <v>0.30158730158730157</v>
      </c>
      <c r="R308" t="s">
        <v>13</v>
      </c>
      <c r="S308" t="s">
        <v>48</v>
      </c>
    </row>
    <row r="309" spans="1:19">
      <c r="A309" t="s">
        <v>348</v>
      </c>
      <c r="B309" s="3">
        <v>46126</v>
      </c>
      <c r="C309" t="s">
        <v>38</v>
      </c>
      <c r="D309" t="s">
        <v>20</v>
      </c>
      <c r="E309" t="s">
        <v>17</v>
      </c>
      <c r="F309" t="str">
        <f>_xlfn.XLOOKUP(E309,Product_Lookup!$A$2:$A$14,Product_Lookup!$B$2:$B$14)</f>
        <v>Storage Box</v>
      </c>
      <c r="G309" t="str">
        <f>_xlfn.XLOOKUP(Sales_Data!E309,Product_Lookup!$A$2:$A$14,Product_Lookup!$C$2:$C$14)</f>
        <v>Storage</v>
      </c>
      <c r="H309">
        <f>_xlfn.XLOOKUP(E309,Product_Lookup!$A$2:$A$14,Product_Lookup!$D$2:$D$14)</f>
        <v>26</v>
      </c>
      <c r="I309">
        <v>1</v>
      </c>
      <c r="J309">
        <f t="shared" si="24"/>
        <v>26</v>
      </c>
      <c r="K309" s="4">
        <v>0</v>
      </c>
      <c r="L309" s="7">
        <f t="shared" si="25"/>
        <v>0</v>
      </c>
      <c r="M309" s="7">
        <f t="shared" si="26"/>
        <v>26</v>
      </c>
      <c r="N309" s="7">
        <f>_xlfn.XLOOKUP(E309,Product_Lookup!$A$2:$A$14,Product_Lookup!$E$2:$E$14)</f>
        <v>11</v>
      </c>
      <c r="O309" s="7">
        <f t="shared" si="27"/>
        <v>11</v>
      </c>
      <c r="P309" s="7">
        <f t="shared" si="28"/>
        <v>15</v>
      </c>
      <c r="Q309" s="10">
        <f t="shared" si="29"/>
        <v>0.57692307692307687</v>
      </c>
      <c r="R309" t="s">
        <v>13</v>
      </c>
      <c r="S309" t="s">
        <v>48</v>
      </c>
    </row>
    <row r="310" spans="1:19">
      <c r="A310" t="s">
        <v>349</v>
      </c>
      <c r="B310" s="3">
        <v>46171</v>
      </c>
      <c r="C310" t="s">
        <v>24</v>
      </c>
      <c r="D310" t="s">
        <v>16</v>
      </c>
      <c r="E310" t="s">
        <v>12</v>
      </c>
      <c r="F310" t="str">
        <f>_xlfn.XLOOKUP(E310,Product_Lookup!$A$2:$A$14,Product_Lookup!$B$2:$B$14)</f>
        <v>Desk</v>
      </c>
      <c r="G310" t="str">
        <f>_xlfn.XLOOKUP(Sales_Data!E310,Product_Lookup!$A$2:$A$14,Product_Lookup!$C$2:$C$14)</f>
        <v>Furniture</v>
      </c>
      <c r="H310">
        <f>_xlfn.XLOOKUP(E310,Product_Lookup!$A$2:$A$14,Product_Lookup!$D$2:$D$14)</f>
        <v>210</v>
      </c>
      <c r="I310">
        <v>4</v>
      </c>
      <c r="J310">
        <f t="shared" si="24"/>
        <v>840</v>
      </c>
      <c r="K310" s="4">
        <v>0</v>
      </c>
      <c r="L310" s="7">
        <f t="shared" si="25"/>
        <v>0</v>
      </c>
      <c r="M310" s="7">
        <f t="shared" si="26"/>
        <v>840</v>
      </c>
      <c r="N310" s="7">
        <f>_xlfn.XLOOKUP(E310,Product_Lookup!$A$2:$A$14,Product_Lookup!$E$2:$E$14)</f>
        <v>132</v>
      </c>
      <c r="O310" s="7">
        <f t="shared" si="27"/>
        <v>528</v>
      </c>
      <c r="P310" s="7">
        <f t="shared" si="28"/>
        <v>312</v>
      </c>
      <c r="Q310" s="10">
        <f t="shared" si="29"/>
        <v>0.37142857142857144</v>
      </c>
      <c r="R310" t="s">
        <v>13</v>
      </c>
      <c r="S310" t="s">
        <v>33</v>
      </c>
    </row>
    <row r="311" spans="1:19">
      <c r="A311" t="s">
        <v>350</v>
      </c>
      <c r="B311" s="3">
        <v>46203</v>
      </c>
      <c r="C311" t="s">
        <v>38</v>
      </c>
      <c r="D311" t="s">
        <v>20</v>
      </c>
      <c r="E311" t="s">
        <v>17</v>
      </c>
      <c r="F311" t="str">
        <f>_xlfn.XLOOKUP(E311,Product_Lookup!$A$2:$A$14,Product_Lookup!$B$2:$B$14)</f>
        <v>Storage Box</v>
      </c>
      <c r="G311" t="str">
        <f>_xlfn.XLOOKUP(Sales_Data!E311,Product_Lookup!$A$2:$A$14,Product_Lookup!$C$2:$C$14)</f>
        <v>Storage</v>
      </c>
      <c r="H311">
        <f>_xlfn.XLOOKUP(E311,Product_Lookup!$A$2:$A$14,Product_Lookup!$D$2:$D$14)</f>
        <v>26</v>
      </c>
      <c r="I311">
        <v>4</v>
      </c>
      <c r="J311">
        <f t="shared" si="24"/>
        <v>104</v>
      </c>
      <c r="K311" s="4">
        <v>0.1</v>
      </c>
      <c r="L311" s="7">
        <f t="shared" si="25"/>
        <v>10.4</v>
      </c>
      <c r="M311" s="7">
        <f t="shared" si="26"/>
        <v>93.6</v>
      </c>
      <c r="N311" s="7">
        <f>_xlfn.XLOOKUP(E311,Product_Lookup!$A$2:$A$14,Product_Lookup!$E$2:$E$14)</f>
        <v>11</v>
      </c>
      <c r="O311" s="7">
        <f t="shared" si="27"/>
        <v>44</v>
      </c>
      <c r="P311" s="7">
        <f t="shared" si="28"/>
        <v>49.599999999999994</v>
      </c>
      <c r="Q311" s="10">
        <f t="shared" si="29"/>
        <v>0.52991452991452992</v>
      </c>
      <c r="R311" t="s">
        <v>13</v>
      </c>
      <c r="S311" t="s">
        <v>33</v>
      </c>
    </row>
    <row r="312" spans="1:19">
      <c r="A312" t="s">
        <v>351</v>
      </c>
      <c r="B312" s="3">
        <v>46190</v>
      </c>
      <c r="C312" t="s">
        <v>10</v>
      </c>
      <c r="D312" t="s">
        <v>16</v>
      </c>
      <c r="E312" t="s">
        <v>45</v>
      </c>
      <c r="F312" t="str">
        <f>_xlfn.XLOOKUP(E312,Product_Lookup!$A$2:$A$14,Product_Lookup!$B$2:$B$14)</f>
        <v>Cushion Set</v>
      </c>
      <c r="G312" t="str">
        <f>_xlfn.XLOOKUP(Sales_Data!E312,Product_Lookup!$A$2:$A$14,Product_Lookup!$C$2:$C$14)</f>
        <v>Home Accessories</v>
      </c>
      <c r="H312">
        <f>_xlfn.XLOOKUP(E312,Product_Lookup!$A$2:$A$14,Product_Lookup!$D$2:$D$14)</f>
        <v>32</v>
      </c>
      <c r="I312">
        <v>7</v>
      </c>
      <c r="J312">
        <f t="shared" si="24"/>
        <v>224</v>
      </c>
      <c r="K312" s="4">
        <v>0.05</v>
      </c>
      <c r="L312" s="7">
        <f t="shared" si="25"/>
        <v>11.200000000000001</v>
      </c>
      <c r="M312" s="7">
        <f t="shared" si="26"/>
        <v>212.8</v>
      </c>
      <c r="N312" s="7">
        <f>_xlfn.XLOOKUP(E312,Product_Lookup!$A$2:$A$14,Product_Lookup!$E$2:$E$14)</f>
        <v>14</v>
      </c>
      <c r="O312" s="7">
        <f t="shared" si="27"/>
        <v>98</v>
      </c>
      <c r="P312" s="7">
        <f t="shared" si="28"/>
        <v>114.80000000000001</v>
      </c>
      <c r="Q312" s="10">
        <f t="shared" si="29"/>
        <v>0.53947368421052633</v>
      </c>
      <c r="R312" t="s">
        <v>13</v>
      </c>
      <c r="S312" t="s">
        <v>48</v>
      </c>
    </row>
    <row r="313" spans="1:19">
      <c r="A313" t="s">
        <v>352</v>
      </c>
      <c r="B313" s="3">
        <v>46197</v>
      </c>
      <c r="C313" t="s">
        <v>29</v>
      </c>
      <c r="D313" t="s">
        <v>16</v>
      </c>
      <c r="E313" t="s">
        <v>76</v>
      </c>
      <c r="F313" t="str">
        <f>_xlfn.XLOOKUP(E313,Product_Lookup!$A$2:$A$14,Product_Lookup!$B$2:$B$14)</f>
        <v>Cookware Set</v>
      </c>
      <c r="G313" t="str">
        <f>_xlfn.XLOOKUP(Sales_Data!E313,Product_Lookup!$A$2:$A$14,Product_Lookup!$C$2:$C$14)</f>
        <v>Kitchenware</v>
      </c>
      <c r="H313">
        <f>_xlfn.XLOOKUP(E313,Product_Lookup!$A$2:$A$14,Product_Lookup!$D$2:$D$14)</f>
        <v>110</v>
      </c>
      <c r="I313">
        <v>1</v>
      </c>
      <c r="J313">
        <f t="shared" si="24"/>
        <v>110</v>
      </c>
      <c r="K313" s="4">
        <v>0</v>
      </c>
      <c r="L313" s="7">
        <f t="shared" si="25"/>
        <v>0</v>
      </c>
      <c r="M313" s="7">
        <f t="shared" si="26"/>
        <v>110</v>
      </c>
      <c r="N313" s="7">
        <f>_xlfn.XLOOKUP(E313,Product_Lookup!$A$2:$A$14,Product_Lookup!$E$2:$E$14)</f>
        <v>65</v>
      </c>
      <c r="O313" s="7">
        <f t="shared" si="27"/>
        <v>65</v>
      </c>
      <c r="P313" s="7">
        <f t="shared" si="28"/>
        <v>45</v>
      </c>
      <c r="Q313" s="10">
        <f t="shared" si="29"/>
        <v>0.40909090909090912</v>
      </c>
      <c r="R313" t="s">
        <v>21</v>
      </c>
      <c r="S313" t="s">
        <v>18</v>
      </c>
    </row>
    <row r="314" spans="1:19">
      <c r="A314" t="s">
        <v>353</v>
      </c>
      <c r="B314" s="3">
        <v>46143</v>
      </c>
      <c r="C314" t="s">
        <v>29</v>
      </c>
      <c r="D314" t="s">
        <v>11</v>
      </c>
      <c r="E314" t="s">
        <v>98</v>
      </c>
      <c r="F314" t="str">
        <f>_xlfn.XLOOKUP(E314,Product_Lookup!$A$2:$A$14,Product_Lookup!$B$2:$B$14)</f>
        <v>Blender</v>
      </c>
      <c r="G314" t="str">
        <f>_xlfn.XLOOKUP(Sales_Data!E314,Product_Lookup!$A$2:$A$14,Product_Lookup!$C$2:$C$14)</f>
        <v>Kitchenware</v>
      </c>
      <c r="H314">
        <f>_xlfn.XLOOKUP(E314,Product_Lookup!$A$2:$A$14,Product_Lookup!$D$2:$D$14)</f>
        <v>75</v>
      </c>
      <c r="I314">
        <v>5</v>
      </c>
      <c r="J314">
        <f t="shared" si="24"/>
        <v>375</v>
      </c>
      <c r="K314" s="4">
        <v>0.05</v>
      </c>
      <c r="L314" s="7">
        <f t="shared" si="25"/>
        <v>18.75</v>
      </c>
      <c r="M314" s="7">
        <f t="shared" si="26"/>
        <v>356.25</v>
      </c>
      <c r="N314" s="7">
        <f>_xlfn.XLOOKUP(E314,Product_Lookup!$A$2:$A$14,Product_Lookup!$E$2:$E$14)</f>
        <v>43</v>
      </c>
      <c r="O314" s="7">
        <f t="shared" si="27"/>
        <v>215</v>
      </c>
      <c r="P314" s="7">
        <f t="shared" si="28"/>
        <v>141.25</v>
      </c>
      <c r="Q314" s="10">
        <f t="shared" si="29"/>
        <v>0.39649122807017545</v>
      </c>
      <c r="R314" t="s">
        <v>13</v>
      </c>
      <c r="S314" t="s">
        <v>48</v>
      </c>
    </row>
    <row r="315" spans="1:19">
      <c r="A315" t="s">
        <v>354</v>
      </c>
      <c r="B315" s="3">
        <v>46050</v>
      </c>
      <c r="C315" t="s">
        <v>10</v>
      </c>
      <c r="D315" t="s">
        <v>20</v>
      </c>
      <c r="E315" t="s">
        <v>41</v>
      </c>
      <c r="F315" t="str">
        <f>_xlfn.XLOOKUP(E315,Product_Lookup!$A$2:$A$14,Product_Lookup!$B$2:$B$14)</f>
        <v>Floor Lamp</v>
      </c>
      <c r="G315" t="str">
        <f>_xlfn.XLOOKUP(Sales_Data!E315,Product_Lookup!$A$2:$A$14,Product_Lookup!$C$2:$C$14)</f>
        <v>Lighting</v>
      </c>
      <c r="H315">
        <f>_xlfn.XLOOKUP(E315,Product_Lookup!$A$2:$A$14,Product_Lookup!$D$2:$D$14)</f>
        <v>125</v>
      </c>
      <c r="I315">
        <v>6</v>
      </c>
      <c r="J315">
        <f t="shared" si="24"/>
        <v>750</v>
      </c>
      <c r="K315" s="4">
        <v>0.1</v>
      </c>
      <c r="L315" s="7">
        <f t="shared" si="25"/>
        <v>75</v>
      </c>
      <c r="M315" s="7">
        <f t="shared" si="26"/>
        <v>675</v>
      </c>
      <c r="N315" s="7">
        <f>_xlfn.XLOOKUP(E315,Product_Lookup!$A$2:$A$14,Product_Lookup!$E$2:$E$14)</f>
        <v>73</v>
      </c>
      <c r="O315" s="7">
        <f t="shared" si="27"/>
        <v>438</v>
      </c>
      <c r="P315" s="7">
        <f t="shared" si="28"/>
        <v>237</v>
      </c>
      <c r="Q315" s="10">
        <f t="shared" si="29"/>
        <v>0.3511111111111111</v>
      </c>
      <c r="R315" t="s">
        <v>13</v>
      </c>
      <c r="S315" t="s">
        <v>18</v>
      </c>
    </row>
    <row r="316" spans="1:19">
      <c r="A316" t="s">
        <v>355</v>
      </c>
      <c r="B316" s="3">
        <v>46156</v>
      </c>
      <c r="C316" t="s">
        <v>29</v>
      </c>
      <c r="D316" t="s">
        <v>20</v>
      </c>
      <c r="E316" t="s">
        <v>57</v>
      </c>
      <c r="F316" t="str">
        <f>_xlfn.XLOOKUP(E316,Product_Lookup!$A$2:$A$14,Product_Lookup!$B$2:$B$14)</f>
        <v>Shelving Unit</v>
      </c>
      <c r="G316" t="str">
        <f>_xlfn.XLOOKUP(Sales_Data!E316,Product_Lookup!$A$2:$A$14,Product_Lookup!$C$2:$C$14)</f>
        <v>Storage</v>
      </c>
      <c r="H316">
        <f>_xlfn.XLOOKUP(E316,Product_Lookup!$A$2:$A$14,Product_Lookup!$D$2:$D$14)</f>
        <v>115</v>
      </c>
      <c r="I316">
        <v>2</v>
      </c>
      <c r="J316">
        <f t="shared" si="24"/>
        <v>230</v>
      </c>
      <c r="K316" s="4">
        <v>0.15</v>
      </c>
      <c r="L316" s="7">
        <f t="shared" si="25"/>
        <v>34.5</v>
      </c>
      <c r="M316" s="7">
        <f t="shared" si="26"/>
        <v>195.5</v>
      </c>
      <c r="N316" s="7">
        <f>_xlfn.XLOOKUP(E316,Product_Lookup!$A$2:$A$14,Product_Lookup!$E$2:$E$14)</f>
        <v>67</v>
      </c>
      <c r="O316" s="7">
        <f t="shared" si="27"/>
        <v>134</v>
      </c>
      <c r="P316" s="7">
        <f t="shared" si="28"/>
        <v>61.5</v>
      </c>
      <c r="Q316" s="10">
        <f t="shared" si="29"/>
        <v>0.31457800511508949</v>
      </c>
      <c r="R316" t="s">
        <v>13</v>
      </c>
      <c r="S316" t="s">
        <v>39</v>
      </c>
    </row>
    <row r="317" spans="1:19">
      <c r="A317" t="s">
        <v>356</v>
      </c>
      <c r="B317" s="3">
        <v>46179</v>
      </c>
      <c r="C317" t="s">
        <v>24</v>
      </c>
      <c r="D317" t="s">
        <v>11</v>
      </c>
      <c r="E317" t="s">
        <v>54</v>
      </c>
      <c r="F317" t="str">
        <f>_xlfn.XLOOKUP(E317,Product_Lookup!$A$2:$A$14,Product_Lookup!$B$2:$B$14)</f>
        <v>Wall Mirror</v>
      </c>
      <c r="G317" t="str">
        <f>_xlfn.XLOOKUP(Sales_Data!E317,Product_Lookup!$A$2:$A$14,Product_Lookup!$C$2:$C$14)</f>
        <v>Home Accessories</v>
      </c>
      <c r="H317">
        <f>_xlfn.XLOOKUP(E317,Product_Lookup!$A$2:$A$14,Product_Lookup!$D$2:$D$14)</f>
        <v>85</v>
      </c>
      <c r="I317">
        <v>4</v>
      </c>
      <c r="J317">
        <f t="shared" si="24"/>
        <v>340</v>
      </c>
      <c r="K317" s="4">
        <v>0.1</v>
      </c>
      <c r="L317" s="7">
        <f t="shared" si="25"/>
        <v>34</v>
      </c>
      <c r="M317" s="7">
        <f t="shared" si="26"/>
        <v>306</v>
      </c>
      <c r="N317" s="7">
        <f>_xlfn.XLOOKUP(E317,Product_Lookup!$A$2:$A$14,Product_Lookup!$E$2:$E$14)</f>
        <v>41</v>
      </c>
      <c r="O317" s="7">
        <f t="shared" si="27"/>
        <v>164</v>
      </c>
      <c r="P317" s="7">
        <f t="shared" si="28"/>
        <v>142</v>
      </c>
      <c r="Q317" s="10">
        <f t="shared" si="29"/>
        <v>0.46405228758169936</v>
      </c>
      <c r="R317" t="s">
        <v>13</v>
      </c>
      <c r="S317" t="s">
        <v>42</v>
      </c>
    </row>
    <row r="318" spans="1:19">
      <c r="A318" t="s">
        <v>357</v>
      </c>
      <c r="B318" s="3">
        <v>46069</v>
      </c>
      <c r="C318" t="s">
        <v>24</v>
      </c>
      <c r="D318" t="s">
        <v>11</v>
      </c>
      <c r="E318" t="s">
        <v>57</v>
      </c>
      <c r="F318" t="str">
        <f>_xlfn.XLOOKUP(E318,Product_Lookup!$A$2:$A$14,Product_Lookup!$B$2:$B$14)</f>
        <v>Shelving Unit</v>
      </c>
      <c r="G318" t="str">
        <f>_xlfn.XLOOKUP(Sales_Data!E318,Product_Lookup!$A$2:$A$14,Product_Lookup!$C$2:$C$14)</f>
        <v>Storage</v>
      </c>
      <c r="H318">
        <f>_xlfn.XLOOKUP(E318,Product_Lookup!$A$2:$A$14,Product_Lookup!$D$2:$D$14)</f>
        <v>115</v>
      </c>
      <c r="I318">
        <v>6</v>
      </c>
      <c r="J318">
        <f t="shared" si="24"/>
        <v>690</v>
      </c>
      <c r="K318" s="4">
        <v>0.1</v>
      </c>
      <c r="L318" s="7">
        <f t="shared" si="25"/>
        <v>69</v>
      </c>
      <c r="M318" s="7">
        <f t="shared" si="26"/>
        <v>621</v>
      </c>
      <c r="N318" s="7">
        <f>_xlfn.XLOOKUP(E318,Product_Lookup!$A$2:$A$14,Product_Lookup!$E$2:$E$14)</f>
        <v>67</v>
      </c>
      <c r="O318" s="7">
        <f t="shared" si="27"/>
        <v>402</v>
      </c>
      <c r="P318" s="7">
        <f t="shared" si="28"/>
        <v>219</v>
      </c>
      <c r="Q318" s="10">
        <f t="shared" si="29"/>
        <v>0.35265700483091789</v>
      </c>
      <c r="R318" t="s">
        <v>13</v>
      </c>
      <c r="S318" t="s">
        <v>14</v>
      </c>
    </row>
    <row r="319" spans="1:19">
      <c r="A319" t="s">
        <v>358</v>
      </c>
      <c r="B319" s="3">
        <v>46075</v>
      </c>
      <c r="C319" t="s">
        <v>10</v>
      </c>
      <c r="D319" t="s">
        <v>11</v>
      </c>
      <c r="E319" t="s">
        <v>54</v>
      </c>
      <c r="F319" t="str">
        <f>_xlfn.XLOOKUP(E319,Product_Lookup!$A$2:$A$14,Product_Lookup!$B$2:$B$14)</f>
        <v>Wall Mirror</v>
      </c>
      <c r="G319" t="str">
        <f>_xlfn.XLOOKUP(Sales_Data!E319,Product_Lookup!$A$2:$A$14,Product_Lookup!$C$2:$C$14)</f>
        <v>Home Accessories</v>
      </c>
      <c r="H319">
        <f>_xlfn.XLOOKUP(E319,Product_Lookup!$A$2:$A$14,Product_Lookup!$D$2:$D$14)</f>
        <v>85</v>
      </c>
      <c r="I319">
        <v>1</v>
      </c>
      <c r="J319">
        <f t="shared" si="24"/>
        <v>85</v>
      </c>
      <c r="K319" s="4">
        <v>0</v>
      </c>
      <c r="L319" s="7">
        <f t="shared" si="25"/>
        <v>0</v>
      </c>
      <c r="M319" s="7">
        <f t="shared" si="26"/>
        <v>85</v>
      </c>
      <c r="N319" s="7">
        <f>_xlfn.XLOOKUP(E319,Product_Lookup!$A$2:$A$14,Product_Lookup!$E$2:$E$14)</f>
        <v>41</v>
      </c>
      <c r="O319" s="7">
        <f t="shared" si="27"/>
        <v>41</v>
      </c>
      <c r="P319" s="7">
        <f t="shared" si="28"/>
        <v>44</v>
      </c>
      <c r="Q319" s="10">
        <f t="shared" si="29"/>
        <v>0.51764705882352946</v>
      </c>
      <c r="R319" t="s">
        <v>13</v>
      </c>
      <c r="S319" t="s">
        <v>48</v>
      </c>
    </row>
    <row r="320" spans="1:19">
      <c r="A320" t="s">
        <v>359</v>
      </c>
      <c r="B320" s="3">
        <v>46023</v>
      </c>
      <c r="C320" t="s">
        <v>38</v>
      </c>
      <c r="D320" t="s">
        <v>20</v>
      </c>
      <c r="E320" t="s">
        <v>54</v>
      </c>
      <c r="F320" t="str">
        <f>_xlfn.XLOOKUP(E320,Product_Lookup!$A$2:$A$14,Product_Lookup!$B$2:$B$14)</f>
        <v>Wall Mirror</v>
      </c>
      <c r="G320" t="str">
        <f>_xlfn.XLOOKUP(Sales_Data!E320,Product_Lookup!$A$2:$A$14,Product_Lookup!$C$2:$C$14)</f>
        <v>Home Accessories</v>
      </c>
      <c r="H320">
        <f>_xlfn.XLOOKUP(E320,Product_Lookup!$A$2:$A$14,Product_Lookup!$D$2:$D$14)</f>
        <v>85</v>
      </c>
      <c r="I320">
        <v>3</v>
      </c>
      <c r="J320">
        <f t="shared" si="24"/>
        <v>255</v>
      </c>
      <c r="K320" s="4">
        <v>0</v>
      </c>
      <c r="L320" s="7">
        <f t="shared" si="25"/>
        <v>0</v>
      </c>
      <c r="M320" s="7">
        <f t="shared" si="26"/>
        <v>255</v>
      </c>
      <c r="N320" s="7">
        <f>_xlfn.XLOOKUP(E320,Product_Lookup!$A$2:$A$14,Product_Lookup!$E$2:$E$14)</f>
        <v>41</v>
      </c>
      <c r="O320" s="7">
        <f t="shared" si="27"/>
        <v>123</v>
      </c>
      <c r="P320" s="7">
        <f t="shared" si="28"/>
        <v>132</v>
      </c>
      <c r="Q320" s="10">
        <f t="shared" si="29"/>
        <v>0.51764705882352946</v>
      </c>
      <c r="R320" t="s">
        <v>13</v>
      </c>
      <c r="S320" t="s">
        <v>14</v>
      </c>
    </row>
    <row r="321" spans="1:19">
      <c r="A321" t="s">
        <v>360</v>
      </c>
      <c r="B321" s="3">
        <v>46084</v>
      </c>
      <c r="C321" t="s">
        <v>10</v>
      </c>
      <c r="D321" t="s">
        <v>20</v>
      </c>
      <c r="E321" t="s">
        <v>98</v>
      </c>
      <c r="F321" t="str">
        <f>_xlfn.XLOOKUP(E321,Product_Lookup!$A$2:$A$14,Product_Lookup!$B$2:$B$14)</f>
        <v>Blender</v>
      </c>
      <c r="G321" t="str">
        <f>_xlfn.XLOOKUP(Sales_Data!E321,Product_Lookup!$A$2:$A$14,Product_Lookup!$C$2:$C$14)</f>
        <v>Kitchenware</v>
      </c>
      <c r="H321">
        <f>_xlfn.XLOOKUP(E321,Product_Lookup!$A$2:$A$14,Product_Lookup!$D$2:$D$14)</f>
        <v>75</v>
      </c>
      <c r="I321">
        <v>5</v>
      </c>
      <c r="J321">
        <f t="shared" si="24"/>
        <v>375</v>
      </c>
      <c r="K321" s="4">
        <v>0.2</v>
      </c>
      <c r="L321" s="7">
        <f t="shared" si="25"/>
        <v>75</v>
      </c>
      <c r="M321" s="7">
        <f t="shared" si="26"/>
        <v>300</v>
      </c>
      <c r="N321" s="7">
        <f>_xlfn.XLOOKUP(E321,Product_Lookup!$A$2:$A$14,Product_Lookup!$E$2:$E$14)</f>
        <v>43</v>
      </c>
      <c r="O321" s="7">
        <f t="shared" si="27"/>
        <v>215</v>
      </c>
      <c r="P321" s="7">
        <f t="shared" si="28"/>
        <v>85</v>
      </c>
      <c r="Q321" s="10">
        <f t="shared" si="29"/>
        <v>0.28333333333333333</v>
      </c>
      <c r="R321" t="s">
        <v>13</v>
      </c>
      <c r="S321" t="s">
        <v>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pane ySplit="1" topLeftCell="A2" activePane="bottomLeft" state="frozen"/>
      <selection pane="bottomLeft" activeCell="D8" sqref="D8"/>
    </sheetView>
  </sheetViews>
  <sheetFormatPr defaultRowHeight="13.5"/>
  <cols>
    <col min="1" max="1" width="17" customWidth="1"/>
    <col min="2" max="3" width="23" customWidth="1"/>
    <col min="4" max="5" width="20" customWidth="1"/>
  </cols>
  <sheetData>
    <row r="1" spans="1:5" ht="27" customHeight="1">
      <c r="A1" s="1" t="s">
        <v>4</v>
      </c>
      <c r="B1" s="1" t="s">
        <v>361</v>
      </c>
      <c r="C1" s="1" t="s">
        <v>362</v>
      </c>
      <c r="D1" s="1" t="s">
        <v>363</v>
      </c>
      <c r="E1" s="1" t="s">
        <v>364</v>
      </c>
    </row>
    <row r="2" spans="1:5">
      <c r="A2" t="s">
        <v>32</v>
      </c>
      <c r="B2" t="s">
        <v>365</v>
      </c>
      <c r="C2" t="s">
        <v>366</v>
      </c>
      <c r="D2" s="2">
        <v>420</v>
      </c>
      <c r="E2" s="2">
        <v>280</v>
      </c>
    </row>
    <row r="3" spans="1:5">
      <c r="A3" t="s">
        <v>30</v>
      </c>
      <c r="B3" t="s">
        <v>367</v>
      </c>
      <c r="C3" t="s">
        <v>366</v>
      </c>
      <c r="D3" s="2">
        <v>95</v>
      </c>
      <c r="E3" s="2">
        <v>54</v>
      </c>
    </row>
    <row r="4" spans="1:5">
      <c r="A4" t="s">
        <v>12</v>
      </c>
      <c r="B4" t="s">
        <v>368</v>
      </c>
      <c r="C4" t="s">
        <v>366</v>
      </c>
      <c r="D4" s="2">
        <v>210</v>
      </c>
      <c r="E4" s="2">
        <v>132</v>
      </c>
    </row>
    <row r="5" spans="1:5">
      <c r="A5" t="s">
        <v>27</v>
      </c>
      <c r="B5" t="s">
        <v>369</v>
      </c>
      <c r="C5" t="s">
        <v>370</v>
      </c>
      <c r="D5" s="2">
        <v>38</v>
      </c>
      <c r="E5" s="2">
        <v>21</v>
      </c>
    </row>
    <row r="6" spans="1:5">
      <c r="A6" t="s">
        <v>76</v>
      </c>
      <c r="B6" t="s">
        <v>371</v>
      </c>
      <c r="C6" t="s">
        <v>370</v>
      </c>
      <c r="D6" s="2">
        <v>110</v>
      </c>
      <c r="E6" s="2">
        <v>65</v>
      </c>
    </row>
    <row r="7" spans="1:5">
      <c r="A7" t="s">
        <v>98</v>
      </c>
      <c r="B7" t="s">
        <v>372</v>
      </c>
      <c r="C7" t="s">
        <v>370</v>
      </c>
      <c r="D7" s="2">
        <v>75</v>
      </c>
      <c r="E7" s="2">
        <v>43</v>
      </c>
    </row>
    <row r="8" spans="1:5">
      <c r="A8" t="s">
        <v>45</v>
      </c>
      <c r="B8" t="s">
        <v>373</v>
      </c>
      <c r="C8" t="s">
        <v>374</v>
      </c>
      <c r="D8" s="2">
        <v>32</v>
      </c>
      <c r="E8" s="2">
        <v>14</v>
      </c>
    </row>
    <row r="9" spans="1:5">
      <c r="A9" t="s">
        <v>54</v>
      </c>
      <c r="B9" t="s">
        <v>375</v>
      </c>
      <c r="C9" t="s">
        <v>374</v>
      </c>
      <c r="D9" s="2">
        <v>85</v>
      </c>
      <c r="E9" s="2">
        <v>41</v>
      </c>
    </row>
    <row r="10" spans="1:5">
      <c r="A10" t="s">
        <v>67</v>
      </c>
      <c r="B10" t="s">
        <v>376</v>
      </c>
      <c r="C10" t="s">
        <v>374</v>
      </c>
      <c r="D10" s="2">
        <v>145</v>
      </c>
      <c r="E10" s="2">
        <v>88</v>
      </c>
    </row>
    <row r="11" spans="1:5">
      <c r="A11" t="s">
        <v>25</v>
      </c>
      <c r="B11" t="s">
        <v>377</v>
      </c>
      <c r="C11" t="s">
        <v>378</v>
      </c>
      <c r="D11" s="2">
        <v>62</v>
      </c>
      <c r="E11" s="2">
        <v>31</v>
      </c>
    </row>
    <row r="12" spans="1:5">
      <c r="A12" t="s">
        <v>41</v>
      </c>
      <c r="B12" t="s">
        <v>379</v>
      </c>
      <c r="C12" t="s">
        <v>378</v>
      </c>
      <c r="D12" s="2">
        <v>125</v>
      </c>
      <c r="E12" s="2">
        <v>73</v>
      </c>
    </row>
    <row r="13" spans="1:5">
      <c r="A13" t="s">
        <v>17</v>
      </c>
      <c r="B13" t="s">
        <v>380</v>
      </c>
      <c r="C13" t="s">
        <v>381</v>
      </c>
      <c r="D13" s="2">
        <v>26</v>
      </c>
      <c r="E13" s="2">
        <v>11</v>
      </c>
    </row>
    <row r="14" spans="1:5">
      <c r="A14" t="s">
        <v>57</v>
      </c>
      <c r="B14" t="s">
        <v>382</v>
      </c>
      <c r="C14" t="s">
        <v>381</v>
      </c>
      <c r="D14" s="2">
        <v>115</v>
      </c>
      <c r="E14" s="2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workbookViewId="0">
      <selection activeCell="E22" sqref="E22"/>
    </sheetView>
  </sheetViews>
  <sheetFormatPr defaultRowHeight="13.5"/>
  <cols>
    <col min="1" max="1" width="25" customWidth="1"/>
    <col min="2" max="2" width="77" customWidth="1"/>
  </cols>
  <sheetData>
    <row r="1" spans="1:2" ht="12.5" customHeight="1">
      <c r="A1" s="1" t="s">
        <v>383</v>
      </c>
      <c r="B1" s="5"/>
    </row>
    <row r="2" spans="1:2">
      <c r="A2" t="s">
        <v>384</v>
      </c>
      <c r="B2" t="s">
        <v>385</v>
      </c>
    </row>
    <row r="3" spans="1:2">
      <c r="A3" t="s">
        <v>386</v>
      </c>
      <c r="B3" t="s">
        <v>387</v>
      </c>
    </row>
    <row r="4" spans="1:2">
      <c r="A4" t="s">
        <v>388</v>
      </c>
      <c r="B4" t="s">
        <v>389</v>
      </c>
    </row>
    <row r="6" spans="1:2" ht="12.5" customHeight="1">
      <c r="A6" s="1" t="s">
        <v>390</v>
      </c>
      <c r="B6" s="1"/>
    </row>
    <row r="7" spans="1:2">
      <c r="A7" t="s">
        <v>391</v>
      </c>
      <c r="B7" t="s">
        <v>392</v>
      </c>
    </row>
    <row r="8" spans="1:2">
      <c r="A8" t="s">
        <v>393</v>
      </c>
      <c r="B8" t="s">
        <v>394</v>
      </c>
    </row>
    <row r="9" spans="1:2">
      <c r="A9" t="s">
        <v>395</v>
      </c>
      <c r="B9" t="s">
        <v>396</v>
      </c>
    </row>
    <row r="10" spans="1:2">
      <c r="A10" t="s">
        <v>397</v>
      </c>
      <c r="B10" t="s">
        <v>398</v>
      </c>
    </row>
    <row r="11" spans="1:2">
      <c r="A11" t="s">
        <v>399</v>
      </c>
      <c r="B11" t="s">
        <v>400</v>
      </c>
    </row>
    <row r="12" spans="1:2">
      <c r="A12" t="s">
        <v>401</v>
      </c>
      <c r="B12" t="s">
        <v>402</v>
      </c>
    </row>
    <row r="14" spans="1:2" ht="12.5" customHeight="1">
      <c r="A14" s="1" t="s">
        <v>403</v>
      </c>
      <c r="B14" s="1"/>
    </row>
    <row r="15" spans="1:2">
      <c r="A15" t="s">
        <v>404</v>
      </c>
      <c r="B15" t="s">
        <v>405</v>
      </c>
    </row>
    <row r="16" spans="1:2">
      <c r="A16" t="s">
        <v>406</v>
      </c>
      <c r="B16" t="s">
        <v>407</v>
      </c>
    </row>
    <row r="17" spans="1:2">
      <c r="A17" t="s">
        <v>408</v>
      </c>
      <c r="B17" t="s">
        <v>409</v>
      </c>
    </row>
    <row r="18" spans="1:2">
      <c r="A18" t="s">
        <v>410</v>
      </c>
      <c r="B18" t="s">
        <v>411</v>
      </c>
    </row>
    <row r="20" spans="1:2" ht="12.5" customHeight="1">
      <c r="A20" s="1" t="s">
        <v>412</v>
      </c>
      <c r="B20" s="1"/>
    </row>
    <row r="21" spans="1:2">
      <c r="A21" t="s">
        <v>391</v>
      </c>
      <c r="B21" t="s">
        <v>413</v>
      </c>
    </row>
    <row r="22" spans="1:2">
      <c r="A22" t="s">
        <v>393</v>
      </c>
      <c r="B22" t="s">
        <v>414</v>
      </c>
    </row>
    <row r="23" spans="1:2">
      <c r="A23" t="s">
        <v>395</v>
      </c>
      <c r="B23" t="s">
        <v>415</v>
      </c>
    </row>
    <row r="24" spans="1:2">
      <c r="A24" t="s">
        <v>397</v>
      </c>
      <c r="B24" t="s">
        <v>416</v>
      </c>
    </row>
    <row r="25" spans="1:2">
      <c r="A25" t="s">
        <v>399</v>
      </c>
      <c r="B25" t="s">
        <v>417</v>
      </c>
    </row>
    <row r="26" spans="1:2">
      <c r="A26" t="s">
        <v>401</v>
      </c>
      <c r="B26" t="s">
        <v>418</v>
      </c>
    </row>
    <row r="27" spans="1:2">
      <c r="A27" t="s">
        <v>419</v>
      </c>
      <c r="B27" t="s">
        <v>420</v>
      </c>
    </row>
    <row r="29" spans="1:2">
      <c r="A29" t="s">
        <v>421</v>
      </c>
    </row>
    <row r="30" spans="1:2" ht="12.5" customHeight="1">
      <c r="A30" s="1" t="s">
        <v>422</v>
      </c>
      <c r="B30" s="1" t="s">
        <v>423</v>
      </c>
    </row>
    <row r="31" spans="1:2">
      <c r="A31" t="s">
        <v>424</v>
      </c>
      <c r="B31" t="s">
        <v>425</v>
      </c>
    </row>
    <row r="32" spans="1:2">
      <c r="A32" t="s">
        <v>426</v>
      </c>
      <c r="B32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Pivot_Table</vt:lpstr>
      <vt:lpstr>Discount_Analysis</vt:lpstr>
      <vt:lpstr>Dashboard</vt:lpstr>
      <vt:lpstr>Management Summary</vt:lpstr>
      <vt:lpstr>Sales_Data</vt:lpstr>
      <vt:lpstr>Product_Lookup</vt:lpstr>
      <vt:lpstr>Project_Brief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Adebisi Olatunji-Legend</cp:lastModifiedBy>
  <dcterms:modified xsi:type="dcterms:W3CDTF">2026-10-27T09:51:44Z</dcterms:modified>
</cp:coreProperties>
</file>